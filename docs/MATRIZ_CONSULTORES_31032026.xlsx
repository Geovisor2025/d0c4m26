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s\hchoquec\Downloads\"/>
    </mc:Choice>
  </mc:AlternateContent>
  <xr:revisionPtr revIDLastSave="0" documentId="13_ncr:1_{B697476D-2A48-450B-B8BB-BA97EE9D07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FORMATI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1" i="1" l="1"/>
  <c r="S51" i="1"/>
  <c r="R51" i="1"/>
  <c r="Q51" i="1"/>
  <c r="P51" i="1"/>
  <c r="H51" i="1"/>
  <c r="M50" i="1"/>
  <c r="L50" i="1"/>
  <c r="H50" i="1"/>
  <c r="J49" i="1"/>
  <c r="H49" i="1"/>
  <c r="J48" i="1"/>
  <c r="I48" i="1"/>
  <c r="H48" i="1"/>
  <c r="K47" i="1"/>
  <c r="J47" i="1"/>
  <c r="I47" i="1"/>
  <c r="H47" i="1"/>
  <c r="T46" i="1"/>
  <c r="S46" i="1"/>
  <c r="R46" i="1"/>
  <c r="Q46" i="1"/>
  <c r="P46" i="1"/>
  <c r="O46" i="1"/>
  <c r="N46" i="1"/>
  <c r="M46" i="1"/>
  <c r="L46" i="1"/>
  <c r="H46" i="1"/>
  <c r="J45" i="1"/>
  <c r="U45" i="1" s="1"/>
  <c r="H45" i="1"/>
  <c r="U44" i="1"/>
  <c r="H44" i="1"/>
  <c r="K43" i="1"/>
  <c r="J43" i="1"/>
  <c r="I43" i="1"/>
  <c r="H43" i="1"/>
  <c r="U42" i="1"/>
  <c r="H42" i="1"/>
  <c r="T41" i="1"/>
  <c r="S41" i="1"/>
  <c r="R41" i="1"/>
  <c r="Q41" i="1"/>
  <c r="P41" i="1"/>
  <c r="O41" i="1"/>
  <c r="N41" i="1"/>
  <c r="M41" i="1"/>
  <c r="L41" i="1"/>
  <c r="H41" i="1"/>
  <c r="T40" i="1"/>
  <c r="S40" i="1"/>
  <c r="R40" i="1"/>
  <c r="Q40" i="1"/>
  <c r="P40" i="1"/>
  <c r="O40" i="1"/>
  <c r="N40" i="1"/>
  <c r="M40" i="1"/>
  <c r="L40" i="1"/>
  <c r="H40" i="1"/>
  <c r="K39" i="1"/>
  <c r="J39" i="1"/>
  <c r="I39" i="1"/>
  <c r="H39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U37" i="1"/>
  <c r="H37" i="1"/>
  <c r="T36" i="1"/>
  <c r="S36" i="1"/>
  <c r="R36" i="1"/>
  <c r="Q36" i="1"/>
  <c r="P36" i="1"/>
  <c r="O36" i="1"/>
  <c r="N36" i="1"/>
  <c r="M36" i="1"/>
  <c r="L36" i="1"/>
  <c r="H36" i="1"/>
  <c r="O35" i="1"/>
  <c r="U35" i="1" s="1"/>
  <c r="H35" i="1"/>
  <c r="O34" i="1"/>
  <c r="U34" i="1" s="1"/>
  <c r="H34" i="1"/>
  <c r="O33" i="1"/>
  <c r="U33" i="1" s="1"/>
  <c r="H33" i="1"/>
  <c r="O32" i="1"/>
  <c r="U32" i="1" s="1"/>
  <c r="H32" i="1"/>
  <c r="O31" i="1"/>
  <c r="U31" i="1" s="1"/>
  <c r="H31" i="1"/>
  <c r="O30" i="1"/>
  <c r="U30" i="1" s="1"/>
  <c r="H30" i="1"/>
  <c r="O29" i="1"/>
  <c r="U29" i="1" s="1"/>
  <c r="H29" i="1"/>
  <c r="O28" i="1"/>
  <c r="U28" i="1" s="1"/>
  <c r="H28" i="1"/>
  <c r="O27" i="1"/>
  <c r="U27" i="1" s="1"/>
  <c r="H27" i="1"/>
  <c r="U26" i="1"/>
  <c r="H26" i="1"/>
  <c r="U25" i="1"/>
  <c r="H25" i="1"/>
  <c r="U24" i="1"/>
  <c r="H24" i="1"/>
  <c r="U23" i="1"/>
  <c r="H23" i="1"/>
  <c r="U22" i="1"/>
  <c r="H22" i="1"/>
  <c r="U21" i="1"/>
  <c r="H21" i="1"/>
  <c r="U20" i="1"/>
  <c r="H20" i="1"/>
  <c r="U19" i="1"/>
  <c r="H19" i="1"/>
  <c r="U18" i="1"/>
  <c r="H18" i="1"/>
  <c r="U17" i="1"/>
  <c r="H17" i="1"/>
  <c r="U16" i="1"/>
  <c r="H16" i="1"/>
  <c r="U15" i="1"/>
  <c r="H15" i="1"/>
  <c r="U14" i="1"/>
  <c r="H14" i="1"/>
  <c r="U13" i="1"/>
  <c r="H13" i="1"/>
  <c r="U12" i="1"/>
  <c r="H12" i="1"/>
  <c r="U11" i="1"/>
  <c r="H11" i="1"/>
  <c r="U10" i="1"/>
  <c r="H10" i="1"/>
  <c r="U9" i="1"/>
  <c r="H9" i="1"/>
  <c r="U8" i="1"/>
  <c r="H8" i="1"/>
  <c r="U7" i="1"/>
  <c r="H7" i="1"/>
  <c r="U6" i="1"/>
  <c r="H6" i="1"/>
  <c r="U5" i="1"/>
  <c r="H5" i="1"/>
  <c r="T4" i="1"/>
  <c r="S4" i="1"/>
  <c r="R4" i="1"/>
  <c r="Q4" i="1"/>
  <c r="P4" i="1"/>
  <c r="O4" i="1"/>
  <c r="N4" i="1"/>
  <c r="M4" i="1"/>
  <c r="L4" i="1"/>
  <c r="H4" i="1"/>
  <c r="U51" i="1" l="1"/>
  <c r="U50" i="1"/>
  <c r="K52" i="1"/>
  <c r="U49" i="1"/>
  <c r="U41" i="1"/>
  <c r="U40" i="1"/>
  <c r="U39" i="1"/>
  <c r="U43" i="1"/>
  <c r="N52" i="1"/>
  <c r="H52" i="1"/>
  <c r="H54" i="1" s="1"/>
  <c r="T52" i="1"/>
  <c r="U4" i="1"/>
  <c r="U47" i="1"/>
  <c r="P52" i="1"/>
  <c r="Q52" i="1"/>
  <c r="S52" i="1"/>
  <c r="L52" i="1"/>
  <c r="I52" i="1"/>
  <c r="U46" i="1"/>
  <c r="U48" i="1"/>
  <c r="R52" i="1"/>
  <c r="M52" i="1"/>
  <c r="J52" i="1"/>
  <c r="O52" i="1"/>
  <c r="U36" i="1"/>
  <c r="U38" i="1"/>
  <c r="U5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Vanessa Herbas Soria Galvarro</author>
  </authors>
  <commentList>
    <comment ref="E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NUEVO CARGO, CAMBIO DE DENOMINACION</t>
        </r>
      </text>
    </comment>
    <comment ref="E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Especialista de Diseño NUEVO</t>
        </r>
      </text>
    </comment>
    <comment ref="E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3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5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1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2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2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22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2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24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2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Tecnico encargado en seguridad de la información y protección de datos</t>
        </r>
      </text>
    </comment>
    <comment ref="E26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27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 xml:space="preserve">NUEVO
</t>
        </r>
      </text>
    </comment>
    <comment ref="E3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NUEVO</t>
        </r>
      </text>
    </comment>
    <comment ref="E41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NUEVO</t>
        </r>
      </text>
    </comment>
  </commentList>
</comments>
</file>

<file path=xl/sharedStrings.xml><?xml version="1.0" encoding="utf-8"?>
<sst xmlns="http://schemas.openxmlformats.org/spreadsheetml/2006/main" count="236" uniqueCount="69">
  <si>
    <t>25820 Consultores Individuales de Línea</t>
  </si>
  <si>
    <t>ÁREA</t>
  </si>
  <si>
    <t>SUB AREA</t>
  </si>
  <si>
    <t>DEPENDENCIA</t>
  </si>
  <si>
    <t>CANTIDAD</t>
  </si>
  <si>
    <t>DESCRIPCIÓN</t>
  </si>
  <si>
    <t>TEMPORALIDAD</t>
  </si>
  <si>
    <t>PRECIO 
UNITARIO</t>
  </si>
  <si>
    <t>TOTAL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</si>
  <si>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</si>
  <si>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</si>
  <si>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</si>
  <si>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</si>
  <si>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</si>
  <si>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</si>
  <si>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</si>
  <si>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</si>
  <si>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sept-26</t>
  </si>
  <si>
    <t>oct-26</t>
  </si>
  <si>
    <t>nov-26</t>
  </si>
  <si>
    <t>dic-26</t>
  </si>
  <si>
    <t>TOTALES</t>
  </si>
  <si>
    <t>Informatica</t>
  </si>
  <si>
    <t>Nacional</t>
  </si>
  <si>
    <t>Jefe de Unidad de Informatica</t>
  </si>
  <si>
    <t>Informatica y Cartografia</t>
  </si>
  <si>
    <t>4</t>
  </si>
  <si>
    <t>Especialista en Diseño y Desarrollo WEB</t>
  </si>
  <si>
    <t>Especialista en Desarrollo WEB</t>
  </si>
  <si>
    <t>Tecnico en Desarrollo WEB</t>
  </si>
  <si>
    <t>1</t>
  </si>
  <si>
    <t>Especialista en Diseño y Desarrollo de Aplicaciones Moviles</t>
  </si>
  <si>
    <t>Especialista en Desarrollo de Aplicaciones Moviles</t>
  </si>
  <si>
    <t>Tecnico en Desarrollo de Aplicaciones  Moviles</t>
  </si>
  <si>
    <t>2</t>
  </si>
  <si>
    <t>Tecnico de mantenimiento de Aplicaciones</t>
  </si>
  <si>
    <t>3</t>
  </si>
  <si>
    <t>Administrador de base de datos</t>
  </si>
  <si>
    <t>Especialista en procesamiento de Informacion Agropecuaria</t>
  </si>
  <si>
    <t>Administrador de Red</t>
  </si>
  <si>
    <t>5</t>
  </si>
  <si>
    <t xml:space="preserve">Tecnico Soporte Informatico </t>
  </si>
  <si>
    <t>CHUQUISACA</t>
  </si>
  <si>
    <t>Tecnico Departamental Soporte Informatico y Redes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</si>
  <si>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</si>
  <si>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</si>
  <si>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</si>
  <si>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</si>
  <si>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</si>
  <si>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</si>
  <si>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</si>
  <si>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</si>
  <si>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Tecnico de Seguridad Informatica</t>
  </si>
  <si>
    <t>Supervisor Nacional de Soporte a Dispositivos Moviles</t>
  </si>
  <si>
    <t>Tecnico de Soporte a Dispositivos Moviles</t>
  </si>
  <si>
    <t>Especialista en Gestión de Procesos Administrativos - Informática y Cartografía</t>
  </si>
  <si>
    <t>Cartografia</t>
  </si>
  <si>
    <t>Jefe de Unidad de Cartografia</t>
  </si>
  <si>
    <t>9</t>
  </si>
  <si>
    <t>Especialista  en Cartografia Censal</t>
  </si>
  <si>
    <t>12</t>
  </si>
  <si>
    <t>Especialista 2 en Cartografia</t>
  </si>
  <si>
    <t>Especialista 3 en Cartografia</t>
  </si>
  <si>
    <t>Tecnico 1 en Cartografia</t>
  </si>
  <si>
    <t>23</t>
  </si>
  <si>
    <t>Técnico 3 en cartografía</t>
  </si>
  <si>
    <t>Técnico 4 en cartografía</t>
  </si>
  <si>
    <t>Presupuesto Inscrito Bs.</t>
  </si>
  <si>
    <t>Diferencia 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</si>
</sst>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C000"/>
        <bgColor theme="9" tint="0.5999938962981048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9" tint="0.59999389629810485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left" vertical="center" wrapText="1"/>
    </xf>
    <xf numFmtId="43" fontId="4" fillId="2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4" fontId="5" fillId="0" borderId="4" xfId="1" applyNumberFormat="1" applyFont="1" applyFill="1" applyBorder="1" applyAlignment="1">
      <alignment horizontal="right" vertical="center" wrapText="1"/>
    </xf>
    <xf numFmtId="4" fontId="5" fillId="0" borderId="4" xfId="0" applyNumberFormat="1" applyFont="1" applyBorder="1" applyAlignment="1">
      <alignment horizontal="righ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 wrapText="1"/>
    </xf>
    <xf numFmtId="4" fontId="5" fillId="3" borderId="4" xfId="1" applyNumberFormat="1" applyFont="1" applyFill="1" applyBorder="1" applyAlignment="1">
      <alignment horizontal="righ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" fontId="5" fillId="7" borderId="4" xfId="1" applyNumberFormat="1" applyFont="1" applyFill="1" applyBorder="1" applyAlignment="1">
      <alignment horizontal="righ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" fontId="5" fillId="7" borderId="5" xfId="1" applyNumberFormat="1" applyFont="1" applyFill="1" applyBorder="1" applyAlignment="1">
      <alignment horizontal="right" vertical="center" wrapText="1"/>
    </xf>
    <xf numFmtId="4" fontId="5" fillId="0" borderId="5" xfId="1" applyNumberFormat="1" applyFont="1" applyFill="1" applyBorder="1" applyAlignment="1">
      <alignment horizontal="right" vertical="center" wrapText="1"/>
    </xf>
    <xf numFmtId="0" fontId="0" fillId="8" borderId="0" xfId="0" applyFill="1"/>
    <xf numFmtId="0" fontId="0" fillId="8" borderId="6" xfId="0" applyFill="1" applyBorder="1"/>
    <xf numFmtId="4" fontId="0" fillId="8" borderId="6" xfId="0" applyNumberFormat="1" applyFill="1" applyBorder="1" applyAlignment="1">
      <alignment horizontal="right"/>
    </xf>
    <xf numFmtId="4" fontId="2" fillId="8" borderId="6" xfId="0" applyNumberFormat="1" applyFont="1" applyFill="1" applyBorder="1" applyAlignment="1">
      <alignment horizontal="right"/>
    </xf>
    <xf numFmtId="4" fontId="6" fillId="9" borderId="7" xfId="1" applyNumberFormat="1" applyFont="1" applyFill="1" applyBorder="1" applyAlignment="1">
      <alignment horizontal="right" vertical="center" wrapText="1"/>
    </xf>
    <xf numFmtId="4" fontId="6" fillId="9" borderId="5" xfId="1" applyNumberFormat="1" applyFont="1" applyFill="1" applyBorder="1" applyAlignment="1">
      <alignment horizontal="right" vertical="center" wrapText="1"/>
    </xf>
    <xf numFmtId="4" fontId="2" fillId="8" borderId="0" xfId="0" applyNumberFormat="1" applyFont="1" applyFill="1" applyAlignment="1">
      <alignment horizontal="right"/>
    </xf>
    <xf numFmtId="2" fontId="0" fillId="0" borderId="0" xfId="0" applyNumberFormat="1"/>
    <xf numFmtId="0" fontId="2" fillId="0" borderId="6" xfId="0" applyFont="1" applyBorder="1" applyAlignment="1">
      <alignment vertical="center"/>
    </xf>
    <xf numFmtId="4" fontId="2" fillId="0" borderId="6" xfId="0" applyNumberFormat="1" applyFont="1" applyBorder="1" applyAlignment="1">
      <alignment horizontal="right" vertical="center"/>
    </xf>
    <xf numFmtId="4" fontId="2" fillId="10" borderId="6" xfId="0" applyNumberFormat="1" applyFont="1" applyFill="1" applyBorder="1" applyAlignment="1">
      <alignment horizontal="right" vertical="center"/>
    </xf>
    <xf numFmtId="49" fontId="0" fillId="0" borderId="0" xfId="0" applyNumberFormat="1"/>
    <xf numFmtId="4" fontId="0" fillId="0" borderId="0" xfId="0" applyNumberFormat="1"/>
    <xf numFmtId="0" fontId="2" fillId="10" borderId="6" xfId="0" applyFont="1" applyFill="1" applyBorder="1" applyAlignment="1">
      <alignment horizontal="left" vertical="center"/>
    </xf>
  </cellXfs>
  <cellStyles count="2">
    <cellStyle name="Millares" xfId="1" builtinId="3"/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5999938962981048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fill>
        <patternFill patternType="solid">
          <fgColor theme="9" tint="0.59999389629810485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1"/>
        </right>
        <top style="thin">
          <color theme="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general" vertical="center" textRotation="0" wrapText="1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numFmt numFmtId="19" formatCode="d/m/yyyy"/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3" displayName="Tabla13" ref="A3:U52" totalsRowShown="0" headerRowDxfId="46" dataDxfId="44" headerRowBorderDxfId="45" tableBorderDxfId="43" totalsRowBorderDxfId="42">
  <autoFilter ref="A3:U52" xr:uid="{00000000-0009-0000-0100-000001000000}"/>
  <tableColumns count="21">
    <tableColumn id="1" xr3:uid="{00000000-0010-0000-0000-000001000000}" name="ÁREA" dataDxfId="41" totalsRowDxfId="40"/>
    <tableColumn id="2" xr3:uid="{00000000-0010-0000-0000-000002000000}" name="SUB AREA" dataDxfId="39" totalsRowDxfId="38"/>
    <tableColumn id="3" xr3:uid="{00000000-0010-0000-0000-000003000000}" name="DEPENDENCIA" dataDxfId="37" totalsRowDxfId="36"/>
    <tableColumn id="4" xr3:uid="{00000000-0010-0000-0000-000004000000}" name="CANTIDAD" dataDxfId="35" totalsRowDxfId="34"/>
    <tableColumn id="5" xr3:uid="{00000000-0010-0000-0000-000005000000}" name="DESCRIPCIÓN" dataDxfId="33" totalsRowDxfId="32"/>
    <tableColumn id="6" xr3:uid="{00000000-0010-0000-0000-000006000000}" name="TEMPORALIDAD" dataDxfId="31" totalsRowDxfId="30"/>
    <tableColumn id="7" xr3:uid="{00000000-0010-0000-0000-000007000000}" name="PRECIO _x000a_UNITARIO" dataDxfId="29" totalsRowDxfId="28" dataCellStyle="Millares"/>
    <tableColumn id="8" xr3:uid="{00000000-0010-0000-0000-000008000000}" name="TOTAL" dataDxfId="27" totalsRowDxfId="26" dataCellStyle="Millares"/>
    <tableColumn id="9" xr3:uid="{00000000-0010-0000-0000-000009000000}" name="ene-26" dataDxfId="25" totalsRowDxfId="24" dataCellStyle="Millares">
      <calculatedColumnFormula>Tabla13[[#This Row],[CANTIDAD]]*Tabla13[[#This Row],[PRECIO 
UNITARIO]]</calculatedColumnFormula>
    </tableColumn>
    <tableColumn id="10" xr3:uid="{00000000-0010-0000-0000-00000A000000}" name="feb-26" dataDxfId="23" totalsRowDxfId="22" dataCellStyle="Millares">
      <calculatedColumnFormula>Tabla13[[#This Row],[PRECIO 
UNITARIO]]*Tabla13[[#This Row],[CANTIDAD]]</calculatedColumnFormula>
    </tableColumn>
    <tableColumn id="11" xr3:uid="{00000000-0010-0000-0000-00000B000000}" name="mar-26" dataDxfId="21" totalsRowDxfId="20" dataCellStyle="Millares">
      <calculatedColumnFormula>Tabla13[[#This Row],[CANTIDAD]]*Tabla13[[#This Row],[PRECIO 
UNITARIO]]</calculatedColumnFormula>
    </tableColumn>
    <tableColumn id="12" xr3:uid="{00000000-0010-0000-0000-00000C000000}" name="abr-26" dataDxfId="19" totalsRowDxfId="18" dataCellStyle="Millares">
      <calculatedColumnFormula>Tabla13[[#This Row],[PRECIO 
UNITARIO]]*Tabla13[[#This Row],[CANTIDAD]]</calculatedColumnFormula>
    </tableColumn>
    <tableColumn id="13" xr3:uid="{00000000-0010-0000-0000-00000D000000}" name="may-26" dataDxfId="17" totalsRowDxfId="16" dataCellStyle="Millares">
      <calculatedColumnFormula>Tabla13[[#This Row],[PRECIO 
UNITARIO]]*Tabla13[[#This Row],[CANTIDAD]]</calculatedColumnFormula>
    </tableColumn>
    <tableColumn id="14" xr3:uid="{00000000-0010-0000-0000-00000E000000}" name="jun-26" dataDxfId="15" totalsRowDxfId="14" dataCellStyle="Millares">
      <calculatedColumnFormula>Tabla13[[#This Row],[PRECIO 
UNITARIO]]*Tabla13[[#This Row],[CANTIDAD]]</calculatedColumnFormula>
    </tableColumn>
    <tableColumn id="15" xr3:uid="{00000000-0010-0000-0000-00000F000000}" name="jul-26" dataDxfId="13" totalsRowDxfId="12">
      <calculatedColumnFormula>Tabla13[[#This Row],[PRECIO 
UNITARIO]]*Tabla13[[#This Row],[CANTIDAD]]</calculatedColumnFormula>
    </tableColumn>
    <tableColumn id="16" xr3:uid="{00000000-0010-0000-0000-000010000000}" name="ago-26" dataDxfId="11" totalsRowDxfId="10">
      <calculatedColumnFormula>Tabla13[[#This Row],[PRECIO 
UNITARIO]]*Tabla13[[#This Row],[CANTIDAD]]</calculatedColumnFormula>
    </tableColumn>
    <tableColumn id="17" xr3:uid="{00000000-0010-0000-0000-000011000000}" name="sept-26" dataDxfId="9" totalsRowDxfId="8">
      <calculatedColumnFormula>Tabla13[[#This Row],[PRECIO 
UNITARIO]]*Tabla13[[#This Row],[CANTIDAD]]</calculatedColumnFormula>
    </tableColumn>
    <tableColumn id="18" xr3:uid="{00000000-0010-0000-0000-000012000000}" name="oct-26" dataDxfId="7" totalsRowDxfId="6">
      <calculatedColumnFormula>Tabla13[[#This Row],[PRECIO 
UNITARIO]]*Tabla13[[#This Row],[CANTIDAD]]</calculatedColumnFormula>
    </tableColumn>
    <tableColumn id="19" xr3:uid="{00000000-0010-0000-0000-000013000000}" name="nov-26" dataDxfId="5" totalsRowDxfId="4">
      <calculatedColumnFormula>Tabla13[[#This Row],[PRECIO 
UNITARIO]]*Tabla13[[#This Row],[CANTIDAD]]</calculatedColumnFormula>
    </tableColumn>
    <tableColumn id="20" xr3:uid="{00000000-0010-0000-0000-000014000000}" name="dic-26" dataDxfId="3" totalsRowDxfId="2">
      <calculatedColumnFormula>Tabla13[[#This Row],[PRECIO 
UNITARIO]]*Tabla13[[#This Row],[CANTIDAD]]</calculatedColumnFormula>
    </tableColumn>
    <tableColumn id="21" xr3:uid="{00000000-0010-0000-0000-000015000000}" name="TOTALES" dataDxfId="1" totalsRowDxfId="0" dataCellStyle="Millares">
      <calculatedColumnFormula>SUM(#REF!)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U61"/>
  <sheetViews>
    <sheetView tabSelected="1" topLeftCell="B34" zoomScale="110" zoomScaleNormal="110" workbookViewId="0">
      <selection activeCell="K57" sqref="K57"/>
    </sheetView>
  </sheetViews>
  <sheetFormatPr baseColWidth="10" defaultRowHeight="15" x14ac:dyDescent="0.25"/>
  <cols>
    <col min="1" max="1" width="16" hidden="1" customWidth="1"/>
    <col min="2" max="2" width="13.140625" bestFit="1" customWidth="1"/>
    <col min="3" max="3" width="12.28515625" customWidth="1"/>
    <col min="4" max="4" width="6.140625" customWidth="1"/>
    <col min="5" max="5" width="26" customWidth="1"/>
    <col min="6" max="6" width="8.140625" customWidth="1"/>
    <col min="7" max="7" width="9.42578125" customWidth="1"/>
    <col min="8" max="8" width="12.28515625" customWidth="1"/>
    <col min="21" max="21" width="12.5703125" customWidth="1"/>
  </cols>
  <sheetData>
    <row r="1" spans="1:21" x14ac:dyDescent="0.25">
      <c r="A1" s="1" t="s">
        <v>0</v>
      </c>
    </row>
    <row r="3" spans="1:21" s="6" customFormat="1" ht="36.75" customHeight="1" thickBot="1" x14ac:dyDescent="0.3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</row>
    <row r="4" spans="1:21" ht="15.75" thickTop="1" x14ac:dyDescent="0.25">
      <c r="A4" s="7"/>
      <c r="B4" s="8" t="s">
        <v>22</v>
      </c>
      <c r="C4" s="9" t="s">
        <v>23</v>
      </c>
      <c r="D4" s="10">
        <v>1</v>
      </c>
      <c r="E4" s="11" t="s">
        <v>24</v>
      </c>
      <c r="F4" s="12">
        <v>9</v>
      </c>
      <c r="G4" s="13">
        <v>14000</v>
      </c>
      <c r="H4" s="13">
        <f>+Tabla13[[#This Row],[CANTIDAD]]*Tabla13[[#This Row],[TEMPORALIDAD]]*Tabla13[[#This Row],[PRECIO 
UNITARIO]]</f>
        <v>126000</v>
      </c>
      <c r="I4" s="13">
        <v>0</v>
      </c>
      <c r="J4" s="13">
        <v>0</v>
      </c>
      <c r="K4" s="13">
        <v>0</v>
      </c>
      <c r="L4" s="13">
        <f>+Tabla13[[#This Row],[CANTIDAD]]*Tabla13[[#This Row],[PRECIO 
UNITARIO]]</f>
        <v>14000</v>
      </c>
      <c r="M4" s="13">
        <f>+Tabla13[[#This Row],[CANTIDAD]]*Tabla13[[#This Row],[PRECIO 
UNITARIO]]</f>
        <v>14000</v>
      </c>
      <c r="N4" s="13">
        <f>+Tabla13[[#This Row],[CANTIDAD]]*Tabla13[[#This Row],[PRECIO 
UNITARIO]]</f>
        <v>14000</v>
      </c>
      <c r="O4" s="13">
        <f>+Tabla13[[#This Row],[CANTIDAD]]*Tabla13[[#This Row],[PRECIO 
UNITARIO]]</f>
        <v>14000</v>
      </c>
      <c r="P4" s="13">
        <f>+Tabla13[[#This Row],[CANTIDAD]]*Tabla13[[#This Row],[PRECIO 
UNITARIO]]</f>
        <v>14000</v>
      </c>
      <c r="Q4" s="13">
        <f>+Tabla13[[#This Row],[CANTIDAD]]*Tabla13[[#This Row],[PRECIO 
UNITARIO]]</f>
        <v>14000</v>
      </c>
      <c r="R4" s="13">
        <f>+Tabla13[[#This Row],[CANTIDAD]]*Tabla13[[#This Row],[PRECIO 
UNITARIO]]</f>
        <v>14000</v>
      </c>
      <c r="S4" s="13">
        <f>+Tabla13[[#This Row],[CANTIDAD]]*Tabla13[[#This Row],[PRECIO 
UNITARIO]]</f>
        <v>14000</v>
      </c>
      <c r="T4" s="13">
        <f>+Tabla13[[#This Row],[CANTIDAD]]*Tabla13[[#This Row],[PRECIO 
UNITARIO]]</f>
        <v>14000</v>
      </c>
      <c r="U4" s="14">
        <f>SUM(Tabla13[[#This Row],[ene-26]:[dic-26]])</f>
        <v>126000</v>
      </c>
    </row>
    <row r="5" spans="1:21" ht="25.5" x14ac:dyDescent="0.25">
      <c r="A5" s="15" t="s">
        <v>25</v>
      </c>
      <c r="B5" s="8" t="s">
        <v>22</v>
      </c>
      <c r="C5" s="9" t="s">
        <v>23</v>
      </c>
      <c r="D5" s="10" t="s">
        <v>26</v>
      </c>
      <c r="E5" s="11" t="s">
        <v>27</v>
      </c>
      <c r="F5" s="12">
        <v>9</v>
      </c>
      <c r="G5" s="13">
        <v>10499</v>
      </c>
      <c r="H5" s="13">
        <f>+Tabla13[[#This Row],[CANTIDAD]]*Tabla13[[#This Row],[TEMPORALIDAD]]*Tabla13[[#This Row],[PRECIO 
UNITARIO]]</f>
        <v>377964</v>
      </c>
      <c r="I5" s="13">
        <v>0</v>
      </c>
      <c r="J5" s="13">
        <v>0</v>
      </c>
      <c r="K5" s="13">
        <v>0</v>
      </c>
      <c r="L5" s="13">
        <v>41996</v>
      </c>
      <c r="M5" s="13">
        <v>41996</v>
      </c>
      <c r="N5" s="13">
        <v>41996</v>
      </c>
      <c r="O5" s="13">
        <v>41996</v>
      </c>
      <c r="P5" s="13">
        <v>41996</v>
      </c>
      <c r="Q5" s="13">
        <v>41996</v>
      </c>
      <c r="R5" s="13">
        <v>41996</v>
      </c>
      <c r="S5" s="13">
        <v>41996</v>
      </c>
      <c r="T5" s="13">
        <v>41996</v>
      </c>
      <c r="U5" s="14">
        <f>SUM(Tabla13[[#This Row],[ene-26]:[dic-26]])</f>
        <v>377964</v>
      </c>
    </row>
    <row r="6" spans="1:21" ht="25.5" x14ac:dyDescent="0.25">
      <c r="A6" s="15" t="s">
        <v>25</v>
      </c>
      <c r="B6" s="8" t="s">
        <v>22</v>
      </c>
      <c r="C6" s="9" t="s">
        <v>23</v>
      </c>
      <c r="D6" s="10" t="s">
        <v>26</v>
      </c>
      <c r="E6" s="11" t="s">
        <v>28</v>
      </c>
      <c r="F6" s="16">
        <v>9</v>
      </c>
      <c r="G6" s="13">
        <v>8507</v>
      </c>
      <c r="H6" s="13">
        <f>+Tabla13[[#This Row],[CANTIDAD]]*Tabla13[[#This Row],[TEMPORALIDAD]]*Tabla13[[#This Row],[PRECIO 
UNITARIO]]</f>
        <v>306252</v>
      </c>
      <c r="I6" s="13">
        <v>0</v>
      </c>
      <c r="J6" s="13">
        <v>0</v>
      </c>
      <c r="K6" s="13">
        <v>0</v>
      </c>
      <c r="L6" s="13">
        <v>34028</v>
      </c>
      <c r="M6" s="13">
        <v>34028</v>
      </c>
      <c r="N6" s="13">
        <v>34028</v>
      </c>
      <c r="O6" s="14">
        <v>34028</v>
      </c>
      <c r="P6" s="14">
        <v>34028</v>
      </c>
      <c r="Q6" s="14">
        <v>34028</v>
      </c>
      <c r="R6" s="14">
        <v>34028</v>
      </c>
      <c r="S6" s="14">
        <v>34028</v>
      </c>
      <c r="T6" s="14">
        <v>34028</v>
      </c>
      <c r="U6" s="14">
        <f>SUM(Tabla13[[#This Row],[ene-26]:[dic-26]])</f>
        <v>306252</v>
      </c>
    </row>
    <row r="7" spans="1:21" ht="25.5" x14ac:dyDescent="0.25">
      <c r="A7" s="15" t="s">
        <v>25</v>
      </c>
      <c r="B7" s="8" t="s">
        <v>22</v>
      </c>
      <c r="C7" s="9" t="s">
        <v>23</v>
      </c>
      <c r="D7" s="10" t="s">
        <v>26</v>
      </c>
      <c r="E7" s="11" t="s">
        <v>29</v>
      </c>
      <c r="F7" s="16">
        <v>9</v>
      </c>
      <c r="G7" s="13">
        <v>6997</v>
      </c>
      <c r="H7" s="13">
        <f>+Tabla13[[#This Row],[CANTIDAD]]*Tabla13[[#This Row],[TEMPORALIDAD]]*Tabla13[[#This Row],[PRECIO 
UNITARIO]]</f>
        <v>251892</v>
      </c>
      <c r="I7" s="13">
        <v>0</v>
      </c>
      <c r="J7" s="13">
        <v>0</v>
      </c>
      <c r="K7" s="13">
        <v>0</v>
      </c>
      <c r="L7" s="13">
        <v>27988</v>
      </c>
      <c r="M7" s="13">
        <v>27988</v>
      </c>
      <c r="N7" s="13">
        <v>27988</v>
      </c>
      <c r="O7" s="14">
        <v>27988</v>
      </c>
      <c r="P7" s="14">
        <v>27988</v>
      </c>
      <c r="Q7" s="14">
        <v>27988</v>
      </c>
      <c r="R7" s="14">
        <v>27988</v>
      </c>
      <c r="S7" s="14">
        <v>27988</v>
      </c>
      <c r="T7" s="14">
        <v>27988</v>
      </c>
      <c r="U7" s="14">
        <f>SUM(Tabla13[[#This Row],[ene-26]:[dic-26]])</f>
        <v>251892</v>
      </c>
    </row>
    <row r="8" spans="1:21" ht="38.25" x14ac:dyDescent="0.25">
      <c r="A8" s="15" t="s">
        <v>25</v>
      </c>
      <c r="B8" s="8" t="s">
        <v>22</v>
      </c>
      <c r="C8" s="9" t="s">
        <v>23</v>
      </c>
      <c r="D8" s="10" t="s">
        <v>30</v>
      </c>
      <c r="E8" s="11" t="s">
        <v>31</v>
      </c>
      <c r="F8" s="12">
        <v>9</v>
      </c>
      <c r="G8" s="13">
        <v>10499</v>
      </c>
      <c r="H8" s="13">
        <f>+Tabla13[[#This Row],[CANTIDAD]]*Tabla13[[#This Row],[TEMPORALIDAD]]*Tabla13[[#This Row],[PRECIO 
UNITARIO]]</f>
        <v>94491</v>
      </c>
      <c r="I8" s="13">
        <v>0</v>
      </c>
      <c r="J8" s="13">
        <v>0</v>
      </c>
      <c r="K8" s="13">
        <v>0</v>
      </c>
      <c r="L8" s="13">
        <v>10499</v>
      </c>
      <c r="M8" s="13">
        <v>10499</v>
      </c>
      <c r="N8" s="13">
        <v>10499</v>
      </c>
      <c r="O8" s="13">
        <v>10499</v>
      </c>
      <c r="P8" s="13">
        <v>10499</v>
      </c>
      <c r="Q8" s="13">
        <v>10499</v>
      </c>
      <c r="R8" s="13">
        <v>10499</v>
      </c>
      <c r="S8" s="13">
        <v>10499</v>
      </c>
      <c r="T8" s="13">
        <v>10499</v>
      </c>
      <c r="U8" s="14">
        <f>SUM(Tabla13[[#This Row],[ene-26]:[dic-26]])</f>
        <v>94491</v>
      </c>
    </row>
    <row r="9" spans="1:21" ht="25.5" x14ac:dyDescent="0.25">
      <c r="A9" s="15" t="s">
        <v>25</v>
      </c>
      <c r="B9" s="8" t="s">
        <v>22</v>
      </c>
      <c r="C9" s="9" t="s">
        <v>23</v>
      </c>
      <c r="D9" s="10" t="s">
        <v>30</v>
      </c>
      <c r="E9" s="11" t="s">
        <v>32</v>
      </c>
      <c r="F9" s="16">
        <v>9</v>
      </c>
      <c r="G9" s="13">
        <v>8507</v>
      </c>
      <c r="H9" s="13">
        <f>+Tabla13[[#This Row],[CANTIDAD]]*Tabla13[[#This Row],[TEMPORALIDAD]]*Tabla13[[#This Row],[PRECIO 
UNITARIO]]</f>
        <v>76563</v>
      </c>
      <c r="I9" s="13">
        <v>0</v>
      </c>
      <c r="J9" s="13">
        <v>0</v>
      </c>
      <c r="K9" s="13">
        <v>0</v>
      </c>
      <c r="L9" s="13">
        <v>8507</v>
      </c>
      <c r="M9" s="13">
        <v>8507</v>
      </c>
      <c r="N9" s="13">
        <v>8507</v>
      </c>
      <c r="O9" s="14">
        <v>8507</v>
      </c>
      <c r="P9" s="14">
        <v>8507</v>
      </c>
      <c r="Q9" s="14">
        <v>8507</v>
      </c>
      <c r="R9" s="14">
        <v>8507</v>
      </c>
      <c r="S9" s="14">
        <v>8507</v>
      </c>
      <c r="T9" s="14">
        <v>8507</v>
      </c>
      <c r="U9" s="14">
        <f>SUM(Tabla13[[#This Row],[ene-26]:[dic-26]])</f>
        <v>76563</v>
      </c>
    </row>
    <row r="10" spans="1:21" ht="25.5" x14ac:dyDescent="0.25">
      <c r="A10" s="15" t="s">
        <v>25</v>
      </c>
      <c r="B10" s="8" t="s">
        <v>22</v>
      </c>
      <c r="C10" s="9" t="s">
        <v>23</v>
      </c>
      <c r="D10" s="10" t="s">
        <v>30</v>
      </c>
      <c r="E10" s="11" t="s">
        <v>33</v>
      </c>
      <c r="F10" s="16">
        <v>9</v>
      </c>
      <c r="G10" s="13">
        <v>6997</v>
      </c>
      <c r="H10" s="13">
        <f>+Tabla13[[#This Row],[CANTIDAD]]*Tabla13[[#This Row],[TEMPORALIDAD]]*Tabla13[[#This Row],[PRECIO 
UNITARIO]]</f>
        <v>62973</v>
      </c>
      <c r="I10" s="13">
        <v>0</v>
      </c>
      <c r="J10" s="13">
        <v>0</v>
      </c>
      <c r="K10" s="13">
        <v>0</v>
      </c>
      <c r="L10" s="13">
        <v>6997</v>
      </c>
      <c r="M10" s="13">
        <v>6997</v>
      </c>
      <c r="N10" s="13">
        <v>6997</v>
      </c>
      <c r="O10" s="14">
        <v>6997</v>
      </c>
      <c r="P10" s="14">
        <v>6997</v>
      </c>
      <c r="Q10" s="14">
        <v>6997</v>
      </c>
      <c r="R10" s="14">
        <v>6997</v>
      </c>
      <c r="S10" s="14">
        <v>6997</v>
      </c>
      <c r="T10" s="14">
        <v>6997</v>
      </c>
      <c r="U10" s="14">
        <f>SUM(Tabla13[[#This Row],[ene-26]:[dic-26]])</f>
        <v>62973</v>
      </c>
    </row>
    <row r="11" spans="1:21" ht="25.5" x14ac:dyDescent="0.25">
      <c r="A11" s="15" t="s">
        <v>25</v>
      </c>
      <c r="B11" s="8" t="s">
        <v>22</v>
      </c>
      <c r="C11" s="9" t="s">
        <v>23</v>
      </c>
      <c r="D11" s="10" t="s">
        <v>34</v>
      </c>
      <c r="E11" s="11" t="s">
        <v>35</v>
      </c>
      <c r="F11" s="16">
        <v>9</v>
      </c>
      <c r="G11" s="13">
        <v>5891</v>
      </c>
      <c r="H11" s="13">
        <f>+Tabla13[[#This Row],[CANTIDAD]]*Tabla13[[#This Row],[TEMPORALIDAD]]*Tabla13[[#This Row],[PRECIO 
UNITARIO]]</f>
        <v>106038</v>
      </c>
      <c r="I11" s="13">
        <v>0</v>
      </c>
      <c r="J11" s="13">
        <v>0</v>
      </c>
      <c r="K11" s="13">
        <v>0</v>
      </c>
      <c r="L11" s="13">
        <v>11782</v>
      </c>
      <c r="M11" s="13">
        <v>11782</v>
      </c>
      <c r="N11" s="13">
        <v>11782</v>
      </c>
      <c r="O11" s="14">
        <v>11782</v>
      </c>
      <c r="P11" s="14">
        <v>11782</v>
      </c>
      <c r="Q11" s="14">
        <v>11782</v>
      </c>
      <c r="R11" s="14">
        <v>11782</v>
      </c>
      <c r="S11" s="14">
        <v>11782</v>
      </c>
      <c r="T11" s="14">
        <v>11782</v>
      </c>
      <c r="U11" s="14">
        <f>SUM(Tabla13[[#This Row],[ene-26]:[dic-26]])</f>
        <v>106038</v>
      </c>
    </row>
    <row r="12" spans="1:21" ht="25.5" x14ac:dyDescent="0.25">
      <c r="A12" s="15" t="s">
        <v>25</v>
      </c>
      <c r="B12" s="8" t="s">
        <v>22</v>
      </c>
      <c r="C12" s="9" t="s">
        <v>23</v>
      </c>
      <c r="D12" s="10" t="s">
        <v>36</v>
      </c>
      <c r="E12" s="11" t="s">
        <v>37</v>
      </c>
      <c r="F12" s="16">
        <v>9</v>
      </c>
      <c r="G12" s="13">
        <v>8507</v>
      </c>
      <c r="H12" s="13">
        <f>+Tabla13[[#This Row],[CANTIDAD]]*Tabla13[[#This Row],[TEMPORALIDAD]]*Tabla13[[#This Row],[PRECIO 
UNITARIO]]</f>
        <v>229689</v>
      </c>
      <c r="I12" s="13">
        <v>0</v>
      </c>
      <c r="J12" s="13">
        <v>0</v>
      </c>
      <c r="K12" s="13">
        <v>0</v>
      </c>
      <c r="L12" s="13">
        <v>25521</v>
      </c>
      <c r="M12" s="13">
        <v>25521</v>
      </c>
      <c r="N12" s="13">
        <v>25521</v>
      </c>
      <c r="O12" s="14">
        <v>25521</v>
      </c>
      <c r="P12" s="14">
        <v>25521</v>
      </c>
      <c r="Q12" s="14">
        <v>25521</v>
      </c>
      <c r="R12" s="14">
        <v>25521</v>
      </c>
      <c r="S12" s="14">
        <v>25521</v>
      </c>
      <c r="T12" s="14">
        <v>25521</v>
      </c>
      <c r="U12" s="14">
        <f>SUM(Tabla13[[#This Row],[ene-26]:[dic-26]])</f>
        <v>229689</v>
      </c>
    </row>
    <row r="13" spans="1:21" ht="25.5" x14ac:dyDescent="0.25">
      <c r="A13" s="15" t="s">
        <v>25</v>
      </c>
      <c r="B13" s="8" t="s">
        <v>22</v>
      </c>
      <c r="C13" s="9" t="s">
        <v>23</v>
      </c>
      <c r="D13" s="10">
        <v>6</v>
      </c>
      <c r="E13" s="11" t="s">
        <v>38</v>
      </c>
      <c r="F13" s="16">
        <v>5</v>
      </c>
      <c r="G13" s="13">
        <v>8507</v>
      </c>
      <c r="H13" s="13">
        <f>+Tabla13[[#This Row],[CANTIDAD]]*Tabla13[[#This Row],[TEMPORALIDAD]]*Tabla13[[#This Row],[PRECIO 
UNITARIO]]</f>
        <v>255210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4">
        <v>0</v>
      </c>
      <c r="P13" s="14">
        <v>51042</v>
      </c>
      <c r="Q13" s="14">
        <v>51042</v>
      </c>
      <c r="R13" s="14">
        <v>51042</v>
      </c>
      <c r="S13" s="14">
        <v>51042</v>
      </c>
      <c r="T13" s="14">
        <v>51042</v>
      </c>
      <c r="U13" s="14">
        <f>SUM(Tabla13[[#This Row],[ene-26]:[dic-26]])</f>
        <v>255210</v>
      </c>
    </row>
    <row r="14" spans="1:21" ht="25.5" x14ac:dyDescent="0.25">
      <c r="A14" s="15" t="s">
        <v>25</v>
      </c>
      <c r="B14" s="8" t="s">
        <v>22</v>
      </c>
      <c r="C14" s="9" t="s">
        <v>23</v>
      </c>
      <c r="D14" s="10" t="s">
        <v>30</v>
      </c>
      <c r="E14" s="11" t="s">
        <v>39</v>
      </c>
      <c r="F14" s="16">
        <v>9</v>
      </c>
      <c r="G14" s="13">
        <v>6997</v>
      </c>
      <c r="H14" s="13">
        <f>+Tabla13[[#This Row],[CANTIDAD]]*Tabla13[[#This Row],[TEMPORALIDAD]]*Tabla13[[#This Row],[PRECIO 
UNITARIO]]</f>
        <v>62973</v>
      </c>
      <c r="I14" s="13">
        <v>0</v>
      </c>
      <c r="J14" s="13">
        <v>0</v>
      </c>
      <c r="K14" s="13">
        <v>0</v>
      </c>
      <c r="L14" s="13">
        <v>6997</v>
      </c>
      <c r="M14" s="13">
        <v>6997</v>
      </c>
      <c r="N14" s="13">
        <v>6997</v>
      </c>
      <c r="O14" s="14">
        <v>6997</v>
      </c>
      <c r="P14" s="14">
        <v>6997</v>
      </c>
      <c r="Q14" s="14">
        <v>6997</v>
      </c>
      <c r="R14" s="14">
        <v>6997</v>
      </c>
      <c r="S14" s="14">
        <v>6997</v>
      </c>
      <c r="T14" s="14">
        <v>6997</v>
      </c>
      <c r="U14" s="14">
        <f>SUM(Tabla13[[#This Row],[ene-26]:[dic-26]])</f>
        <v>62973</v>
      </c>
    </row>
    <row r="15" spans="1:21" ht="25.5" x14ac:dyDescent="0.25">
      <c r="A15" s="15" t="s">
        <v>25</v>
      </c>
      <c r="B15" s="8" t="s">
        <v>22</v>
      </c>
      <c r="C15" s="9" t="s">
        <v>23</v>
      </c>
      <c r="D15" s="10" t="s">
        <v>40</v>
      </c>
      <c r="E15" s="11" t="s">
        <v>41</v>
      </c>
      <c r="F15" s="16">
        <v>9</v>
      </c>
      <c r="G15" s="13">
        <v>5891</v>
      </c>
      <c r="H15" s="13">
        <f>+Tabla13[[#This Row],[CANTIDAD]]*Tabla13[[#This Row],[TEMPORALIDAD]]*Tabla13[[#This Row],[PRECIO 
UNITARIO]]</f>
        <v>265095</v>
      </c>
      <c r="I15" s="13">
        <v>0</v>
      </c>
      <c r="J15" s="13">
        <v>0</v>
      </c>
      <c r="K15" s="13">
        <v>0</v>
      </c>
      <c r="L15" s="13">
        <v>29455</v>
      </c>
      <c r="M15" s="13">
        <v>29455</v>
      </c>
      <c r="N15" s="13">
        <v>29455</v>
      </c>
      <c r="O15" s="14">
        <v>29455</v>
      </c>
      <c r="P15" s="14">
        <v>29455</v>
      </c>
      <c r="Q15" s="14">
        <v>29455</v>
      </c>
      <c r="R15" s="14">
        <v>29455</v>
      </c>
      <c r="S15" s="14">
        <v>29455</v>
      </c>
      <c r="T15" s="14">
        <v>29455</v>
      </c>
      <c r="U15" s="14">
        <f>SUM(Tabla13[[#This Row],[ene-26]:[dic-26]])</f>
        <v>265095</v>
      </c>
    </row>
    <row r="16" spans="1:21" ht="25.5" x14ac:dyDescent="0.25">
      <c r="A16" s="15" t="s">
        <v>25</v>
      </c>
      <c r="B16" s="8" t="s">
        <v>22</v>
      </c>
      <c r="C16" s="9" t="s">
        <v>42</v>
      </c>
      <c r="D16" s="10" t="s">
        <v>30</v>
      </c>
      <c r="E16" s="11" t="s">
        <v>43</v>
      </c>
      <c r="F16" s="16">
        <v>4</v>
      </c>
      <c r="G16" s="13">
        <v>5536</v>
      </c>
      <c r="H16" s="13">
        <f>+Tabla13[[#This Row],[CANTIDAD]]*Tabla13[[#This Row],[TEMPORALIDAD]]*Tabla13[[#This Row],[PRECIO 
UNITARIO]]</f>
        <v>22144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4">
        <v>5536</v>
      </c>
      <c r="P16" s="14">
        <v>5536</v>
      </c>
      <c r="Q16" s="14">
        <v>5536</v>
      </c>
      <c r="R16" s="14">
        <v>5536</v>
      </c>
      <c r="S16" s="14">
        <v>0</v>
      </c>
      <c r="T16" s="14">
        <v>0</v>
      </c>
      <c r="U16" s="14">
        <f>SUM(Tabla13[[#This Row],[ene-26]:[dic-26]])</f>
        <v>22144</v>
      </c>
    </row>
    <row r="17" spans="1:21" ht="25.5" x14ac:dyDescent="0.25">
      <c r="A17" s="15" t="s">
        <v>25</v>
      </c>
      <c r="B17" s="8" t="s">
        <v>22</v>
      </c>
      <c r="C17" s="9" t="s">
        <v>44</v>
      </c>
      <c r="D17" s="10">
        <v>2</v>
      </c>
      <c r="E17" s="11" t="s">
        <v>43</v>
      </c>
      <c r="F17" s="16">
        <v>4</v>
      </c>
      <c r="G17" s="13">
        <v>5536</v>
      </c>
      <c r="H17" s="13">
        <f>+Tabla13[[#This Row],[CANTIDAD]]*Tabla13[[#This Row],[TEMPORALIDAD]]*Tabla13[[#This Row],[PRECIO 
UNITARIO]]</f>
        <v>44288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4">
        <v>11072</v>
      </c>
      <c r="P17" s="14">
        <v>11072</v>
      </c>
      <c r="Q17" s="14">
        <v>11072</v>
      </c>
      <c r="R17" s="14">
        <v>11072</v>
      </c>
      <c r="S17" s="14">
        <v>0</v>
      </c>
      <c r="T17" s="14">
        <v>0</v>
      </c>
      <c r="U17" s="14">
        <f>SUM(Tabla13[[#This Row],[ene-26]:[dic-26]])</f>
        <v>44288</v>
      </c>
    </row>
    <row r="18" spans="1:21" ht="25.5" x14ac:dyDescent="0.25">
      <c r="A18" s="15" t="s">
        <v>25</v>
      </c>
      <c r="B18" s="8" t="s">
        <v>22</v>
      </c>
      <c r="C18" s="9" t="s">
        <v>45</v>
      </c>
      <c r="D18" s="10">
        <v>2</v>
      </c>
      <c r="E18" s="11" t="s">
        <v>43</v>
      </c>
      <c r="F18" s="16">
        <v>4</v>
      </c>
      <c r="G18" s="13">
        <v>5536</v>
      </c>
      <c r="H18" s="13">
        <f>+Tabla13[[#This Row],[CANTIDAD]]*Tabla13[[#This Row],[TEMPORALIDAD]]*Tabla13[[#This Row],[PRECIO 
UNITARIO]]</f>
        <v>44288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4">
        <v>11072</v>
      </c>
      <c r="P18" s="14">
        <v>11072</v>
      </c>
      <c r="Q18" s="14">
        <v>11072</v>
      </c>
      <c r="R18" s="14">
        <v>11072</v>
      </c>
      <c r="S18" s="14">
        <v>0</v>
      </c>
      <c r="T18" s="14">
        <v>0</v>
      </c>
      <c r="U18" s="14">
        <f>SUM(Tabla13[[#This Row],[ene-26]:[dic-26]])</f>
        <v>44288</v>
      </c>
    </row>
    <row r="19" spans="1:21" ht="25.5" x14ac:dyDescent="0.25">
      <c r="A19" s="15" t="s">
        <v>25</v>
      </c>
      <c r="B19" s="8" t="s">
        <v>22</v>
      </c>
      <c r="C19" s="9" t="s">
        <v>46</v>
      </c>
      <c r="D19" s="10">
        <v>1</v>
      </c>
      <c r="E19" s="11" t="s">
        <v>43</v>
      </c>
      <c r="F19" s="16">
        <v>4</v>
      </c>
      <c r="G19" s="13">
        <v>5536</v>
      </c>
      <c r="H19" s="13">
        <f>+Tabla13[[#This Row],[CANTIDAD]]*Tabla13[[#This Row],[TEMPORALIDAD]]*Tabla13[[#This Row],[PRECIO 
UNITARIO]]</f>
        <v>22144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4">
        <v>5536</v>
      </c>
      <c r="P19" s="14">
        <v>5536</v>
      </c>
      <c r="Q19" s="14">
        <v>5536</v>
      </c>
      <c r="R19" s="14">
        <v>5536</v>
      </c>
      <c r="S19" s="14">
        <v>0</v>
      </c>
      <c r="T19" s="14">
        <v>0</v>
      </c>
      <c r="U19" s="14">
        <f>SUM(Tabla13[[#This Row],[ene-26]:[dic-26]])</f>
        <v>22144</v>
      </c>
    </row>
    <row r="20" spans="1:21" ht="25.5" x14ac:dyDescent="0.25">
      <c r="A20" s="15" t="s">
        <v>25</v>
      </c>
      <c r="B20" s="8" t="s">
        <v>22</v>
      </c>
      <c r="C20" s="9" t="s">
        <v>47</v>
      </c>
      <c r="D20" s="10">
        <v>1</v>
      </c>
      <c r="E20" s="11" t="s">
        <v>43</v>
      </c>
      <c r="F20" s="16">
        <v>4</v>
      </c>
      <c r="G20" s="13">
        <v>5536</v>
      </c>
      <c r="H20" s="13">
        <f>+Tabla13[[#This Row],[CANTIDAD]]*Tabla13[[#This Row],[TEMPORALIDAD]]*Tabla13[[#This Row],[PRECIO 
UNITARIO]]</f>
        <v>22144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4">
        <v>5536</v>
      </c>
      <c r="P20" s="14">
        <v>5536</v>
      </c>
      <c r="Q20" s="14">
        <v>5536</v>
      </c>
      <c r="R20" s="14">
        <v>5536</v>
      </c>
      <c r="S20" s="14">
        <v>0</v>
      </c>
      <c r="T20" s="14">
        <v>0</v>
      </c>
      <c r="U20" s="14">
        <f>SUM(Tabla13[[#This Row],[ene-26]:[dic-26]])</f>
        <v>22144</v>
      </c>
    </row>
    <row r="21" spans="1:21" ht="25.5" x14ac:dyDescent="0.25">
      <c r="A21" s="15" t="s">
        <v>25</v>
      </c>
      <c r="B21" s="8" t="s">
        <v>22</v>
      </c>
      <c r="C21" s="9" t="s">
        <v>48</v>
      </c>
      <c r="D21" s="10" t="s">
        <v>30</v>
      </c>
      <c r="E21" s="11" t="s">
        <v>43</v>
      </c>
      <c r="F21" s="16">
        <v>4</v>
      </c>
      <c r="G21" s="13">
        <v>5536</v>
      </c>
      <c r="H21" s="13">
        <f>+Tabla13[[#This Row],[CANTIDAD]]*Tabla13[[#This Row],[TEMPORALIDAD]]*Tabla13[[#This Row],[PRECIO 
UNITARIO]]</f>
        <v>22144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4">
        <v>5536</v>
      </c>
      <c r="P21" s="14">
        <v>5536</v>
      </c>
      <c r="Q21" s="14">
        <v>5536</v>
      </c>
      <c r="R21" s="14">
        <v>5536</v>
      </c>
      <c r="S21" s="14">
        <v>0</v>
      </c>
      <c r="T21" s="14">
        <v>0</v>
      </c>
      <c r="U21" s="14">
        <f>SUM(Tabla13[[#This Row],[ene-26]:[dic-26]])</f>
        <v>22144</v>
      </c>
    </row>
    <row r="22" spans="1:21" ht="25.5" x14ac:dyDescent="0.25">
      <c r="A22" s="15" t="s">
        <v>25</v>
      </c>
      <c r="B22" s="8" t="s">
        <v>22</v>
      </c>
      <c r="C22" s="9" t="s">
        <v>49</v>
      </c>
      <c r="D22" s="10">
        <v>2</v>
      </c>
      <c r="E22" s="11" t="s">
        <v>43</v>
      </c>
      <c r="F22" s="16">
        <v>4</v>
      </c>
      <c r="G22" s="13">
        <v>5536</v>
      </c>
      <c r="H22" s="13">
        <f>+Tabla13[[#This Row],[CANTIDAD]]*Tabla13[[#This Row],[TEMPORALIDAD]]*Tabla13[[#This Row],[PRECIO 
UNITARIO]]</f>
        <v>44288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4">
        <v>11072</v>
      </c>
      <c r="P22" s="14">
        <v>11072</v>
      </c>
      <c r="Q22" s="14">
        <v>11072</v>
      </c>
      <c r="R22" s="14">
        <v>11072</v>
      </c>
      <c r="S22" s="14">
        <v>0</v>
      </c>
      <c r="T22" s="14">
        <v>0</v>
      </c>
      <c r="U22" s="14">
        <f>SUM(Tabla13[[#This Row],[ene-26]:[dic-26]])</f>
        <v>44288</v>
      </c>
    </row>
    <row r="23" spans="1:21" ht="25.5" x14ac:dyDescent="0.25">
      <c r="A23" s="15" t="s">
        <v>25</v>
      </c>
      <c r="B23" s="8" t="s">
        <v>22</v>
      </c>
      <c r="C23" s="9" t="s">
        <v>50</v>
      </c>
      <c r="D23" s="10" t="s">
        <v>30</v>
      </c>
      <c r="E23" s="11" t="s">
        <v>43</v>
      </c>
      <c r="F23" s="16">
        <v>4</v>
      </c>
      <c r="G23" s="13">
        <v>5536</v>
      </c>
      <c r="H23" s="13">
        <f>+Tabla13[[#This Row],[CANTIDAD]]*Tabla13[[#This Row],[TEMPORALIDAD]]*Tabla13[[#This Row],[PRECIO 
UNITARIO]]</f>
        <v>22144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4">
        <v>5536</v>
      </c>
      <c r="P23" s="14">
        <v>5536</v>
      </c>
      <c r="Q23" s="14">
        <v>5536</v>
      </c>
      <c r="R23" s="14">
        <v>5536</v>
      </c>
      <c r="S23" s="14">
        <v>0</v>
      </c>
      <c r="T23" s="14">
        <v>0</v>
      </c>
      <c r="U23" s="14">
        <f>SUM(Tabla13[[#This Row],[ene-26]:[dic-26]])</f>
        <v>22144</v>
      </c>
    </row>
    <row r="24" spans="1:21" ht="25.5" x14ac:dyDescent="0.25">
      <c r="A24" s="15" t="s">
        <v>25</v>
      </c>
      <c r="B24" s="8" t="s">
        <v>22</v>
      </c>
      <c r="C24" s="9" t="s">
        <v>51</v>
      </c>
      <c r="D24" s="10" t="s">
        <v>30</v>
      </c>
      <c r="E24" s="11" t="s">
        <v>43</v>
      </c>
      <c r="F24" s="16">
        <v>4</v>
      </c>
      <c r="G24" s="13">
        <v>5536</v>
      </c>
      <c r="H24" s="13">
        <f>+Tabla13[[#This Row],[CANTIDAD]]*Tabla13[[#This Row],[TEMPORALIDAD]]*Tabla13[[#This Row],[PRECIO 
UNITARIO]]</f>
        <v>22144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>
        <v>5536</v>
      </c>
      <c r="P24" s="14">
        <v>5536</v>
      </c>
      <c r="Q24" s="14">
        <v>5536</v>
      </c>
      <c r="R24" s="14">
        <v>5536</v>
      </c>
      <c r="S24" s="14">
        <v>0</v>
      </c>
      <c r="T24" s="14">
        <v>0</v>
      </c>
      <c r="U24" s="14">
        <f>SUM(Tabla13[[#This Row],[ene-26]:[dic-26]])</f>
        <v>22144</v>
      </c>
    </row>
    <row r="25" spans="1:21" ht="25.5" x14ac:dyDescent="0.25">
      <c r="A25" s="15" t="s">
        <v>25</v>
      </c>
      <c r="B25" s="8" t="s">
        <v>22</v>
      </c>
      <c r="C25" s="9" t="s">
        <v>23</v>
      </c>
      <c r="D25" s="10" t="s">
        <v>30</v>
      </c>
      <c r="E25" s="17" t="s">
        <v>52</v>
      </c>
      <c r="F25" s="16">
        <v>9</v>
      </c>
      <c r="G25" s="13">
        <v>5891</v>
      </c>
      <c r="H25" s="13">
        <f>+Tabla13[[#This Row],[CANTIDAD]]*Tabla13[[#This Row],[TEMPORALIDAD]]*Tabla13[[#This Row],[PRECIO 
UNITARIO]]</f>
        <v>53019</v>
      </c>
      <c r="I25" s="13">
        <v>0</v>
      </c>
      <c r="J25" s="13">
        <v>0</v>
      </c>
      <c r="K25" s="13">
        <v>0</v>
      </c>
      <c r="L25" s="13">
        <v>5891</v>
      </c>
      <c r="M25" s="13">
        <v>5891</v>
      </c>
      <c r="N25" s="13">
        <v>5891</v>
      </c>
      <c r="O25" s="14">
        <v>5891</v>
      </c>
      <c r="P25" s="14">
        <v>5891</v>
      </c>
      <c r="Q25" s="14">
        <v>5891</v>
      </c>
      <c r="R25" s="14">
        <v>5891</v>
      </c>
      <c r="S25" s="14">
        <v>5891</v>
      </c>
      <c r="T25" s="14">
        <v>5891</v>
      </c>
      <c r="U25" s="14">
        <f>SUM(Tabla13[[#This Row],[ene-26]:[dic-26]])</f>
        <v>53019</v>
      </c>
    </row>
    <row r="26" spans="1:21" ht="25.5" x14ac:dyDescent="0.25">
      <c r="A26" s="15" t="s">
        <v>25</v>
      </c>
      <c r="B26" s="8" t="s">
        <v>22</v>
      </c>
      <c r="C26" s="9" t="s">
        <v>23</v>
      </c>
      <c r="D26" s="10" t="s">
        <v>30</v>
      </c>
      <c r="E26" s="18" t="s">
        <v>53</v>
      </c>
      <c r="F26" s="16">
        <v>7</v>
      </c>
      <c r="G26" s="13">
        <v>6997</v>
      </c>
      <c r="H26" s="13">
        <f>+Tabla13[[#This Row],[CANTIDAD]]*Tabla13[[#This Row],[TEMPORALIDAD]]*Tabla13[[#This Row],[PRECIO 
UNITARIO]]</f>
        <v>48979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6997</v>
      </c>
      <c r="O26" s="14">
        <v>6997</v>
      </c>
      <c r="P26" s="14">
        <v>6997</v>
      </c>
      <c r="Q26" s="14">
        <v>6997</v>
      </c>
      <c r="R26" s="14">
        <v>6997</v>
      </c>
      <c r="S26" s="14">
        <v>6997</v>
      </c>
      <c r="T26" s="14">
        <v>6997</v>
      </c>
      <c r="U26" s="14">
        <f>SUM(Tabla13[[#This Row],[ene-26]:[dic-26]])</f>
        <v>48979</v>
      </c>
    </row>
    <row r="27" spans="1:21" ht="25.5" x14ac:dyDescent="0.25">
      <c r="A27" s="15" t="s">
        <v>25</v>
      </c>
      <c r="B27" s="8" t="s">
        <v>22</v>
      </c>
      <c r="C27" s="9" t="s">
        <v>42</v>
      </c>
      <c r="D27" s="10">
        <v>5</v>
      </c>
      <c r="E27" s="19" t="s">
        <v>54</v>
      </c>
      <c r="F27" s="16">
        <v>1</v>
      </c>
      <c r="G27" s="13">
        <v>4709</v>
      </c>
      <c r="H27" s="13">
        <f>+Tabla13[[#This Row],[CANTIDAD]]*Tabla13[[#This Row],[TEMPORALIDAD]]*Tabla13[[#This Row],[PRECIO 
UNITARIO]]</f>
        <v>23545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4">
        <f>+Tabla13[[#This Row],[CANTIDAD]]*Tabla13[[#This Row],[PRECIO 
UNITARIO]]</f>
        <v>23545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f>SUM(Tabla13[[#This Row],[ene-26]:[dic-26]])</f>
        <v>23545</v>
      </c>
    </row>
    <row r="28" spans="1:21" ht="25.5" x14ac:dyDescent="0.25">
      <c r="A28" s="15" t="s">
        <v>25</v>
      </c>
      <c r="B28" s="8" t="s">
        <v>22</v>
      </c>
      <c r="C28" s="9" t="s">
        <v>44</v>
      </c>
      <c r="D28" s="10">
        <v>18</v>
      </c>
      <c r="E28" s="19" t="s">
        <v>54</v>
      </c>
      <c r="F28" s="16">
        <v>1</v>
      </c>
      <c r="G28" s="13">
        <v>4709</v>
      </c>
      <c r="H28" s="13">
        <f>+Tabla13[[#This Row],[CANTIDAD]]*Tabla13[[#This Row],[TEMPORALIDAD]]*Tabla13[[#This Row],[PRECIO 
UNITARIO]]</f>
        <v>84762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4">
        <f>+Tabla13[[#This Row],[CANTIDAD]]*Tabla13[[#This Row],[PRECIO 
UNITARIO]]</f>
        <v>84762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f>SUM(Tabla13[[#This Row],[ene-26]:[dic-26]])</f>
        <v>84762</v>
      </c>
    </row>
    <row r="29" spans="1:21" ht="25.5" x14ac:dyDescent="0.25">
      <c r="A29" s="15" t="s">
        <v>25</v>
      </c>
      <c r="B29" s="8" t="s">
        <v>22</v>
      </c>
      <c r="C29" s="9" t="s">
        <v>45</v>
      </c>
      <c r="D29" s="10">
        <v>13</v>
      </c>
      <c r="E29" s="19" t="s">
        <v>54</v>
      </c>
      <c r="F29" s="16">
        <v>1</v>
      </c>
      <c r="G29" s="13">
        <v>4709</v>
      </c>
      <c r="H29" s="13">
        <f>+Tabla13[[#This Row],[CANTIDAD]]*Tabla13[[#This Row],[TEMPORALIDAD]]*Tabla13[[#This Row],[PRECIO 
UNITARIO]]</f>
        <v>61217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4">
        <f>+Tabla13[[#This Row],[CANTIDAD]]*Tabla13[[#This Row],[PRECIO 
UNITARIO]]</f>
        <v>61217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f>SUM(Tabla13[[#This Row],[ene-26]:[dic-26]])</f>
        <v>61217</v>
      </c>
    </row>
    <row r="30" spans="1:21" ht="25.5" x14ac:dyDescent="0.25">
      <c r="A30" s="15" t="s">
        <v>25</v>
      </c>
      <c r="B30" s="8" t="s">
        <v>22</v>
      </c>
      <c r="C30" s="9" t="s">
        <v>46</v>
      </c>
      <c r="D30" s="10">
        <v>5</v>
      </c>
      <c r="E30" s="19" t="s">
        <v>54</v>
      </c>
      <c r="F30" s="16">
        <v>1</v>
      </c>
      <c r="G30" s="13">
        <v>4709</v>
      </c>
      <c r="H30" s="13">
        <f>+Tabla13[[#This Row],[CANTIDAD]]*Tabla13[[#This Row],[TEMPORALIDAD]]*Tabla13[[#This Row],[PRECIO 
UNITARIO]]</f>
        <v>23545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4">
        <f>+Tabla13[[#This Row],[CANTIDAD]]*Tabla13[[#This Row],[PRECIO 
UNITARIO]]</f>
        <v>23545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f>SUM(Tabla13[[#This Row],[ene-26]:[dic-26]])</f>
        <v>23545</v>
      </c>
    </row>
    <row r="31" spans="1:21" ht="25.5" x14ac:dyDescent="0.25">
      <c r="A31" s="15" t="s">
        <v>25</v>
      </c>
      <c r="B31" s="8" t="s">
        <v>22</v>
      </c>
      <c r="C31" s="9" t="s">
        <v>47</v>
      </c>
      <c r="D31" s="10">
        <v>9</v>
      </c>
      <c r="E31" s="19" t="s">
        <v>54</v>
      </c>
      <c r="F31" s="16">
        <v>1</v>
      </c>
      <c r="G31" s="13">
        <v>4709</v>
      </c>
      <c r="H31" s="13">
        <f>+Tabla13[[#This Row],[CANTIDAD]]*Tabla13[[#This Row],[TEMPORALIDAD]]*Tabla13[[#This Row],[PRECIO 
UNITARIO]]</f>
        <v>42381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4">
        <f>+Tabla13[[#This Row],[CANTIDAD]]*Tabla13[[#This Row],[PRECIO 
UNITARIO]]</f>
        <v>42381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f>SUM(Tabla13[[#This Row],[ene-26]:[dic-26]])</f>
        <v>42381</v>
      </c>
    </row>
    <row r="32" spans="1:21" ht="25.5" x14ac:dyDescent="0.25">
      <c r="A32" s="15" t="s">
        <v>25</v>
      </c>
      <c r="B32" s="8" t="s">
        <v>22</v>
      </c>
      <c r="C32" s="9" t="s">
        <v>48</v>
      </c>
      <c r="D32" s="10">
        <v>3</v>
      </c>
      <c r="E32" s="19" t="s">
        <v>54</v>
      </c>
      <c r="F32" s="16">
        <v>1</v>
      </c>
      <c r="G32" s="13">
        <v>4709</v>
      </c>
      <c r="H32" s="13">
        <f>+Tabla13[[#This Row],[CANTIDAD]]*Tabla13[[#This Row],[TEMPORALIDAD]]*Tabla13[[#This Row],[PRECIO 
UNITARIO]]</f>
        <v>14127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4">
        <f>+Tabla13[[#This Row],[CANTIDAD]]*Tabla13[[#This Row],[PRECIO 
UNITARIO]]</f>
        <v>14127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f>SUM(Tabla13[[#This Row],[ene-26]:[dic-26]])</f>
        <v>14127</v>
      </c>
    </row>
    <row r="33" spans="1:21" ht="25.5" x14ac:dyDescent="0.25">
      <c r="A33" s="15" t="s">
        <v>25</v>
      </c>
      <c r="B33" s="8" t="s">
        <v>22</v>
      </c>
      <c r="C33" s="9" t="s">
        <v>49</v>
      </c>
      <c r="D33" s="10">
        <v>8</v>
      </c>
      <c r="E33" s="19" t="s">
        <v>54</v>
      </c>
      <c r="F33" s="16">
        <v>1</v>
      </c>
      <c r="G33" s="13">
        <v>4709</v>
      </c>
      <c r="H33" s="13">
        <f>+Tabla13[[#This Row],[CANTIDAD]]*Tabla13[[#This Row],[TEMPORALIDAD]]*Tabla13[[#This Row],[PRECIO 
UNITARIO]]</f>
        <v>37672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4">
        <f>+Tabla13[[#This Row],[CANTIDAD]]*Tabla13[[#This Row],[PRECIO 
UNITARIO]]</f>
        <v>37672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f>SUM(Tabla13[[#This Row],[ene-26]:[dic-26]])</f>
        <v>37672</v>
      </c>
    </row>
    <row r="34" spans="1:21" ht="25.5" x14ac:dyDescent="0.25">
      <c r="A34" s="15" t="s">
        <v>25</v>
      </c>
      <c r="B34" s="8" t="s">
        <v>22</v>
      </c>
      <c r="C34" s="9" t="s">
        <v>50</v>
      </c>
      <c r="D34" s="10">
        <v>2</v>
      </c>
      <c r="E34" s="19" t="s">
        <v>54</v>
      </c>
      <c r="F34" s="16">
        <v>1</v>
      </c>
      <c r="G34" s="13">
        <v>4709</v>
      </c>
      <c r="H34" s="13">
        <f>+Tabla13[[#This Row],[CANTIDAD]]*Tabla13[[#This Row],[TEMPORALIDAD]]*Tabla13[[#This Row],[PRECIO 
UNITARIO]]</f>
        <v>9418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f>+Tabla13[[#This Row],[CANTIDAD]]*Tabla13[[#This Row],[PRECIO 
UNITARIO]]</f>
        <v>9418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f>SUM(Tabla13[[#This Row],[ene-26]:[dic-26]])</f>
        <v>9418</v>
      </c>
    </row>
    <row r="35" spans="1:21" ht="25.5" x14ac:dyDescent="0.25">
      <c r="A35" s="15" t="s">
        <v>25</v>
      </c>
      <c r="B35" s="8" t="s">
        <v>22</v>
      </c>
      <c r="C35" s="9" t="s">
        <v>51</v>
      </c>
      <c r="D35" s="16">
        <v>1</v>
      </c>
      <c r="E35" s="19" t="s">
        <v>54</v>
      </c>
      <c r="F35" s="16">
        <v>1</v>
      </c>
      <c r="G35" s="13">
        <v>4709</v>
      </c>
      <c r="H35" s="13">
        <f>+Tabla13[[#This Row],[CANTIDAD]]*Tabla13[[#This Row],[TEMPORALIDAD]]*Tabla13[[#This Row],[PRECIO 
UNITARIO]]</f>
        <v>4709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f>+Tabla13[[#This Row],[CANTIDAD]]*Tabla13[[#This Row],[PRECIO 
UNITARIO]]</f>
        <v>4709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f>SUM(Tabla13[[#This Row],[ene-26]:[dic-26]])</f>
        <v>4709</v>
      </c>
    </row>
    <row r="36" spans="1:21" ht="38.25" x14ac:dyDescent="0.25">
      <c r="A36" s="15" t="s">
        <v>25</v>
      </c>
      <c r="B36" s="8" t="s">
        <v>22</v>
      </c>
      <c r="C36" s="9" t="s">
        <v>23</v>
      </c>
      <c r="D36" s="10">
        <v>1</v>
      </c>
      <c r="E36" s="18" t="s">
        <v>55</v>
      </c>
      <c r="F36" s="16">
        <v>9</v>
      </c>
      <c r="G36" s="13">
        <v>8507</v>
      </c>
      <c r="H36" s="13">
        <f>+Tabla13[[#This Row],[CANTIDAD]]*Tabla13[[#This Row],[TEMPORALIDAD]]*Tabla13[[#This Row],[PRECIO 
UNITARIO]]</f>
        <v>76563</v>
      </c>
      <c r="I36" s="13">
        <v>0</v>
      </c>
      <c r="J36" s="13">
        <v>0</v>
      </c>
      <c r="K36" s="13">
        <v>0</v>
      </c>
      <c r="L36" s="14">
        <f>+Tabla13[[#This Row],[CANTIDAD]]*Tabla13[[#This Row],[PRECIO 
UNITARIO]]</f>
        <v>8507</v>
      </c>
      <c r="M36" s="14">
        <f>+Tabla13[[#This Row],[CANTIDAD]]*Tabla13[[#This Row],[PRECIO 
UNITARIO]]</f>
        <v>8507</v>
      </c>
      <c r="N36" s="14">
        <f>+Tabla13[[#This Row],[CANTIDAD]]*Tabla13[[#This Row],[PRECIO 
UNITARIO]]</f>
        <v>8507</v>
      </c>
      <c r="O36" s="14">
        <f>+Tabla13[[#This Row],[CANTIDAD]]*Tabla13[[#This Row],[PRECIO 
UNITARIO]]</f>
        <v>8507</v>
      </c>
      <c r="P36" s="14">
        <f>+Tabla13[[#This Row],[CANTIDAD]]*Tabla13[[#This Row],[PRECIO 
UNITARIO]]</f>
        <v>8507</v>
      </c>
      <c r="Q36" s="14">
        <f>+Tabla13[[#This Row],[CANTIDAD]]*Tabla13[[#This Row],[PRECIO 
UNITARIO]]</f>
        <v>8507</v>
      </c>
      <c r="R36" s="14">
        <f>+Tabla13[[#This Row],[CANTIDAD]]*Tabla13[[#This Row],[PRECIO 
UNITARIO]]</f>
        <v>8507</v>
      </c>
      <c r="S36" s="14">
        <f>+Tabla13[[#This Row],[CANTIDAD]]*Tabla13[[#This Row],[PRECIO 
UNITARIO]]</f>
        <v>8507</v>
      </c>
      <c r="T36" s="14">
        <f>+Tabla13[[#This Row],[CANTIDAD]]*Tabla13[[#This Row],[PRECIO 
UNITARIO]]</f>
        <v>8507</v>
      </c>
      <c r="U36" s="14">
        <f>SUM(Tabla13[[#This Row],[ene-26]:[dic-26]])</f>
        <v>76563</v>
      </c>
    </row>
    <row r="37" spans="1:21" x14ac:dyDescent="0.25">
      <c r="A37" s="15"/>
      <c r="B37" s="8" t="s">
        <v>56</v>
      </c>
      <c r="C37" s="20" t="s">
        <v>23</v>
      </c>
      <c r="D37" s="21">
        <v>1</v>
      </c>
      <c r="E37" s="18" t="s">
        <v>57</v>
      </c>
      <c r="F37" s="20" t="s">
        <v>58</v>
      </c>
      <c r="G37" s="13">
        <v>14000</v>
      </c>
      <c r="H37" s="13">
        <f>+Tabla13[[#This Row],[CANTIDAD]]*Tabla13[[#This Row],[TEMPORALIDAD]]*Tabla13[[#This Row],[PRECIO 
UNITARIO]]</f>
        <v>126000</v>
      </c>
      <c r="I37" s="22"/>
      <c r="J37" s="22"/>
      <c r="K37" s="22"/>
      <c r="L37" s="22">
        <v>14000</v>
      </c>
      <c r="M37" s="22">
        <v>14000</v>
      </c>
      <c r="N37" s="22">
        <v>14000</v>
      </c>
      <c r="O37" s="22">
        <v>14000</v>
      </c>
      <c r="P37" s="22">
        <v>14000</v>
      </c>
      <c r="Q37" s="22">
        <v>14000</v>
      </c>
      <c r="R37" s="22">
        <v>14000</v>
      </c>
      <c r="S37" s="22">
        <v>14000</v>
      </c>
      <c r="T37" s="22">
        <v>14000</v>
      </c>
      <c r="U37" s="14">
        <f>SUM(Tabla13[[#This Row],[ene-26]:[dic-26]])</f>
        <v>126000</v>
      </c>
    </row>
    <row r="38" spans="1:21" ht="25.5" x14ac:dyDescent="0.25">
      <c r="A38" s="15"/>
      <c r="B38" s="8" t="s">
        <v>56</v>
      </c>
      <c r="C38" s="9" t="s">
        <v>23</v>
      </c>
      <c r="D38" s="9" t="s">
        <v>30</v>
      </c>
      <c r="E38" s="23" t="s">
        <v>59</v>
      </c>
      <c r="F38" s="9" t="s">
        <v>60</v>
      </c>
      <c r="G38" s="13">
        <v>12870</v>
      </c>
      <c r="H38" s="13">
        <f>+Tabla13[[#This Row],[CANTIDAD]]*Tabla13[[#This Row],[TEMPORALIDAD]]*Tabla13[[#This Row],[PRECIO 
UNITARIO]]</f>
        <v>154440</v>
      </c>
      <c r="I38" s="13">
        <f>+Tabla13[[#This Row],[CANTIDAD]]*Tabla13[[#This Row],[PRECIO 
UNITARIO]]</f>
        <v>12870</v>
      </c>
      <c r="J38" s="13">
        <f>+Tabla13[[#This Row],[CANTIDAD]]*Tabla13[[#This Row],[PRECIO 
UNITARIO]]</f>
        <v>12870</v>
      </c>
      <c r="K38" s="13">
        <f>+Tabla13[[#This Row],[CANTIDAD]]*Tabla13[[#This Row],[PRECIO 
UNITARIO]]</f>
        <v>12870</v>
      </c>
      <c r="L38" s="13">
        <f>+Tabla13[[#This Row],[CANTIDAD]]*Tabla13[[#This Row],[PRECIO 
UNITARIO]]</f>
        <v>12870</v>
      </c>
      <c r="M38" s="13">
        <f>+Tabla13[[#This Row],[CANTIDAD]]*Tabla13[[#This Row],[PRECIO 
UNITARIO]]</f>
        <v>12870</v>
      </c>
      <c r="N38" s="13">
        <f>+Tabla13[[#This Row],[CANTIDAD]]*Tabla13[[#This Row],[PRECIO 
UNITARIO]]</f>
        <v>12870</v>
      </c>
      <c r="O38" s="13">
        <f>+Tabla13[[#This Row],[CANTIDAD]]*Tabla13[[#This Row],[PRECIO 
UNITARIO]]</f>
        <v>12870</v>
      </c>
      <c r="P38" s="13">
        <f>+Tabla13[[#This Row],[CANTIDAD]]*Tabla13[[#This Row],[PRECIO 
UNITARIO]]</f>
        <v>12870</v>
      </c>
      <c r="Q38" s="13">
        <f>+Tabla13[[#This Row],[CANTIDAD]]*Tabla13[[#This Row],[PRECIO 
UNITARIO]]</f>
        <v>12870</v>
      </c>
      <c r="R38" s="13">
        <f>+Tabla13[[#This Row],[CANTIDAD]]*Tabla13[[#This Row],[PRECIO 
UNITARIO]]</f>
        <v>12870</v>
      </c>
      <c r="S38" s="13">
        <f>+Tabla13[[#This Row],[CANTIDAD]]*Tabla13[[#This Row],[PRECIO 
UNITARIO]]</f>
        <v>12870</v>
      </c>
      <c r="T38" s="13">
        <f>+Tabla13[[#This Row],[CANTIDAD]]*Tabla13[[#This Row],[PRECIO 
UNITARIO]]</f>
        <v>12870</v>
      </c>
      <c r="U38" s="14">
        <f>SUM(Tabla13[[#This Row],[ene-26]:[dic-26]])</f>
        <v>154440</v>
      </c>
    </row>
    <row r="39" spans="1:21" x14ac:dyDescent="0.25">
      <c r="A39" s="15"/>
      <c r="B39" s="8" t="s">
        <v>56</v>
      </c>
      <c r="C39" s="9" t="s">
        <v>23</v>
      </c>
      <c r="D39" s="21">
        <v>6</v>
      </c>
      <c r="E39" s="23" t="s">
        <v>61</v>
      </c>
      <c r="F39" s="20" t="s">
        <v>36</v>
      </c>
      <c r="G39" s="13">
        <v>10499</v>
      </c>
      <c r="H39" s="13">
        <f>+Tabla13[[#This Row],[CANTIDAD]]*Tabla13[[#This Row],[TEMPORALIDAD]]*Tabla13[[#This Row],[PRECIO 
UNITARIO]]</f>
        <v>188982</v>
      </c>
      <c r="I39" s="13">
        <f>+Tabla13[[#This Row],[CANTIDAD]]*Tabla13[[#This Row],[PRECIO 
UNITARIO]]</f>
        <v>62994</v>
      </c>
      <c r="J39" s="13">
        <f>+Tabla13[[#This Row],[CANTIDAD]]*Tabla13[[#This Row],[PRECIO 
UNITARIO]]</f>
        <v>62994</v>
      </c>
      <c r="K39" s="13">
        <f>+Tabla13[[#This Row],[CANTIDAD]]*Tabla13[[#This Row],[PRECIO 
UNITARIO]]</f>
        <v>62994</v>
      </c>
      <c r="L39" s="13"/>
      <c r="M39" s="13"/>
      <c r="N39" s="13"/>
      <c r="O39" s="13"/>
      <c r="P39" s="13"/>
      <c r="Q39" s="13"/>
      <c r="R39" s="13"/>
      <c r="S39" s="13"/>
      <c r="T39" s="13"/>
      <c r="U39" s="14">
        <f>SUM(Tabla13[[#This Row],[ene-26]:[dic-26]])</f>
        <v>188982</v>
      </c>
    </row>
    <row r="40" spans="1:21" x14ac:dyDescent="0.25">
      <c r="A40" s="15"/>
      <c r="B40" s="8" t="s">
        <v>56</v>
      </c>
      <c r="C40" s="9" t="s">
        <v>23</v>
      </c>
      <c r="D40" s="21">
        <v>2</v>
      </c>
      <c r="E40" s="23" t="s">
        <v>61</v>
      </c>
      <c r="F40" s="20" t="s">
        <v>58</v>
      </c>
      <c r="G40" s="13">
        <v>10499</v>
      </c>
      <c r="H40" s="13">
        <f>+Tabla13[[#This Row],[CANTIDAD]]*Tabla13[[#This Row],[TEMPORALIDAD]]*Tabla13[[#This Row],[PRECIO 
UNITARIO]]</f>
        <v>188982</v>
      </c>
      <c r="I40" s="13"/>
      <c r="J40" s="13"/>
      <c r="K40" s="13"/>
      <c r="L40" s="22">
        <f>+Tabla13[[#This Row],[CANTIDAD]]*Tabla13[[#This Row],[PRECIO 
UNITARIO]]</f>
        <v>20998</v>
      </c>
      <c r="M40" s="22">
        <f>+Tabla13[[#This Row],[CANTIDAD]]*Tabla13[[#This Row],[PRECIO 
UNITARIO]]</f>
        <v>20998</v>
      </c>
      <c r="N40" s="22">
        <f>+Tabla13[[#This Row],[CANTIDAD]]*Tabla13[[#This Row],[PRECIO 
UNITARIO]]</f>
        <v>20998</v>
      </c>
      <c r="O40" s="22">
        <f>+Tabla13[[#This Row],[CANTIDAD]]*Tabla13[[#This Row],[PRECIO 
UNITARIO]]</f>
        <v>20998</v>
      </c>
      <c r="P40" s="22">
        <f>+Tabla13[[#This Row],[CANTIDAD]]*Tabla13[[#This Row],[PRECIO 
UNITARIO]]</f>
        <v>20998</v>
      </c>
      <c r="Q40" s="22">
        <f>+Tabla13[[#This Row],[CANTIDAD]]*Tabla13[[#This Row],[PRECIO 
UNITARIO]]</f>
        <v>20998</v>
      </c>
      <c r="R40" s="22">
        <f>+Tabla13[[#This Row],[CANTIDAD]]*Tabla13[[#This Row],[PRECIO 
UNITARIO]]</f>
        <v>20998</v>
      </c>
      <c r="S40" s="22">
        <f>+Tabla13[[#This Row],[CANTIDAD]]*Tabla13[[#This Row],[PRECIO 
UNITARIO]]</f>
        <v>20998</v>
      </c>
      <c r="T40" s="22">
        <f>+Tabla13[[#This Row],[CANTIDAD]]*Tabla13[[#This Row],[PRECIO 
UNITARIO]]</f>
        <v>20998</v>
      </c>
      <c r="U40" s="14">
        <f>SUM(Tabla13[[#This Row],[ene-26]:[dic-26]])</f>
        <v>188982</v>
      </c>
    </row>
    <row r="41" spans="1:21" x14ac:dyDescent="0.25">
      <c r="A41" s="15"/>
      <c r="B41" s="8" t="s">
        <v>56</v>
      </c>
      <c r="C41" s="9" t="s">
        <v>23</v>
      </c>
      <c r="D41" s="21">
        <v>4</v>
      </c>
      <c r="E41" s="24" t="s">
        <v>62</v>
      </c>
      <c r="F41" s="20" t="s">
        <v>58</v>
      </c>
      <c r="G41" s="13">
        <v>8507</v>
      </c>
      <c r="H41" s="13">
        <f>+Tabla13[[#This Row],[CANTIDAD]]*Tabla13[[#This Row],[TEMPORALIDAD]]*Tabla13[[#This Row],[PRECIO 
UNITARIO]]</f>
        <v>306252</v>
      </c>
      <c r="I41" s="13"/>
      <c r="J41" s="13"/>
      <c r="K41" s="13"/>
      <c r="L41" s="22">
        <f>+Tabla13[[#This Row],[CANTIDAD]]*Tabla13[[#This Row],[PRECIO 
UNITARIO]]</f>
        <v>34028</v>
      </c>
      <c r="M41" s="22">
        <f>+Tabla13[[#This Row],[CANTIDAD]]*Tabla13[[#This Row],[PRECIO 
UNITARIO]]</f>
        <v>34028</v>
      </c>
      <c r="N41" s="22">
        <f>+Tabla13[[#This Row],[CANTIDAD]]*Tabla13[[#This Row],[PRECIO 
UNITARIO]]</f>
        <v>34028</v>
      </c>
      <c r="O41" s="22">
        <f>+Tabla13[[#This Row],[CANTIDAD]]*Tabla13[[#This Row],[PRECIO 
UNITARIO]]</f>
        <v>34028</v>
      </c>
      <c r="P41" s="22">
        <f>+Tabla13[[#This Row],[CANTIDAD]]*Tabla13[[#This Row],[PRECIO 
UNITARIO]]</f>
        <v>34028</v>
      </c>
      <c r="Q41" s="22">
        <f>+Tabla13[[#This Row],[CANTIDAD]]*Tabla13[[#This Row],[PRECIO 
UNITARIO]]</f>
        <v>34028</v>
      </c>
      <c r="R41" s="22">
        <f>+Tabla13[[#This Row],[CANTIDAD]]*Tabla13[[#This Row],[PRECIO 
UNITARIO]]</f>
        <v>34028</v>
      </c>
      <c r="S41" s="22">
        <f>+Tabla13[[#This Row],[CANTIDAD]]*Tabla13[[#This Row],[PRECIO 
UNITARIO]]</f>
        <v>34028</v>
      </c>
      <c r="T41" s="22">
        <f>+Tabla13[[#This Row],[CANTIDAD]]*Tabla13[[#This Row],[PRECIO 
UNITARIO]]</f>
        <v>34028</v>
      </c>
      <c r="U41" s="14">
        <f>SUM(Tabla13[[#This Row],[ene-26]:[dic-26]])</f>
        <v>306252</v>
      </c>
    </row>
    <row r="42" spans="1:21" x14ac:dyDescent="0.25">
      <c r="A42" s="15"/>
      <c r="B42" s="8" t="s">
        <v>56</v>
      </c>
      <c r="C42" s="9" t="s">
        <v>23</v>
      </c>
      <c r="D42" s="25" t="s">
        <v>26</v>
      </c>
      <c r="E42" s="26" t="s">
        <v>63</v>
      </c>
      <c r="F42" s="9" t="s">
        <v>36</v>
      </c>
      <c r="G42" s="13">
        <v>6997</v>
      </c>
      <c r="H42" s="13">
        <f>+Tabla13[[#This Row],[CANTIDAD]]*Tabla13[[#This Row],[TEMPORALIDAD]]*Tabla13[[#This Row],[PRECIO 
UNITARIO]]</f>
        <v>83964</v>
      </c>
      <c r="I42" s="13">
        <v>27988</v>
      </c>
      <c r="J42" s="13">
        <v>27988</v>
      </c>
      <c r="K42" s="13">
        <v>27988</v>
      </c>
      <c r="L42" s="13"/>
      <c r="M42" s="13"/>
      <c r="N42" s="13"/>
      <c r="O42" s="13"/>
      <c r="P42" s="13"/>
      <c r="Q42" s="13"/>
      <c r="R42" s="13"/>
      <c r="S42" s="13"/>
      <c r="T42" s="13"/>
      <c r="U42" s="14">
        <f>SUM(Tabla13[[#This Row],[ene-26]:[dic-26]])</f>
        <v>83964</v>
      </c>
    </row>
    <row r="43" spans="1:21" x14ac:dyDescent="0.25">
      <c r="A43" s="15"/>
      <c r="B43" s="8" t="s">
        <v>56</v>
      </c>
      <c r="C43" s="9" t="s">
        <v>23</v>
      </c>
      <c r="D43" s="25" t="s">
        <v>34</v>
      </c>
      <c r="E43" s="26" t="s">
        <v>63</v>
      </c>
      <c r="F43" s="9" t="s">
        <v>36</v>
      </c>
      <c r="G43" s="13">
        <v>6997</v>
      </c>
      <c r="H43" s="13">
        <f>+Tabla13[[#This Row],[CANTIDAD]]*Tabla13[[#This Row],[TEMPORALIDAD]]*Tabla13[[#This Row],[PRECIO 
UNITARIO]]</f>
        <v>41982</v>
      </c>
      <c r="I43" s="22">
        <f>+Tabla13[[#This Row],[CANTIDAD]]*Tabla13[[#This Row],[PRECIO 
UNITARIO]]</f>
        <v>13994</v>
      </c>
      <c r="J43" s="22">
        <f>+Tabla13[[#This Row],[CANTIDAD]]*Tabla13[[#This Row],[PRECIO 
UNITARIO]]</f>
        <v>13994</v>
      </c>
      <c r="K43" s="22">
        <f>+Tabla13[[#This Row],[CANTIDAD]]*Tabla13[[#This Row],[PRECIO 
UNITARIO]]</f>
        <v>13994</v>
      </c>
      <c r="L43" s="13"/>
      <c r="M43" s="13"/>
      <c r="N43" s="13"/>
      <c r="O43" s="13"/>
      <c r="P43" s="14"/>
      <c r="Q43" s="14"/>
      <c r="R43" s="14"/>
      <c r="S43" s="14"/>
      <c r="T43" s="13"/>
      <c r="U43" s="14">
        <f>SUM(Tabla13[[#This Row],[ene-26]:[dic-26]])</f>
        <v>41982</v>
      </c>
    </row>
    <row r="44" spans="1:21" x14ac:dyDescent="0.25">
      <c r="A44" s="15"/>
      <c r="B44" s="8" t="s">
        <v>56</v>
      </c>
      <c r="C44" s="9" t="s">
        <v>23</v>
      </c>
      <c r="D44" s="10">
        <v>1</v>
      </c>
      <c r="E44" s="26" t="s">
        <v>63</v>
      </c>
      <c r="F44" s="9" t="s">
        <v>34</v>
      </c>
      <c r="G44" s="13">
        <v>6997</v>
      </c>
      <c r="H44" s="13">
        <f>+Tabla13[[#This Row],[CANTIDAD]]*Tabla13[[#This Row],[TEMPORALIDAD]]*Tabla13[[#This Row],[PRECIO 
UNITARIO]]</f>
        <v>13994</v>
      </c>
      <c r="I44" s="13">
        <v>0</v>
      </c>
      <c r="J44" s="13">
        <v>0</v>
      </c>
      <c r="K44" s="13">
        <v>0</v>
      </c>
      <c r="L44" s="13"/>
      <c r="M44" s="13"/>
      <c r="N44" s="13"/>
      <c r="O44" s="13"/>
      <c r="P44" s="14"/>
      <c r="Q44" s="14"/>
      <c r="R44" s="14"/>
      <c r="S44" s="14"/>
      <c r="T44" s="13"/>
      <c r="U44" s="14">
        <f>SUM(Tabla13[[#This Row],[ene-26]:[dic-26]])</f>
        <v>0</v>
      </c>
    </row>
    <row r="45" spans="1:21" x14ac:dyDescent="0.25">
      <c r="A45" s="15"/>
      <c r="B45" s="8" t="s">
        <v>56</v>
      </c>
      <c r="C45" s="9" t="s">
        <v>23</v>
      </c>
      <c r="D45" s="10">
        <v>1</v>
      </c>
      <c r="E45" s="26" t="s">
        <v>63</v>
      </c>
      <c r="F45" s="9" t="s">
        <v>30</v>
      </c>
      <c r="G45" s="13">
        <v>6997</v>
      </c>
      <c r="H45" s="13">
        <f>+Tabla13[[#This Row],[CANTIDAD]]*Tabla13[[#This Row],[TEMPORALIDAD]]*Tabla13[[#This Row],[PRECIO 
UNITARIO]]</f>
        <v>6997</v>
      </c>
      <c r="I45" s="13">
        <v>0</v>
      </c>
      <c r="J45" s="22">
        <f>+Tabla13[[#This Row],[CANTIDAD]]*Tabla13[[#This Row],[PRECIO 
UNITARIO]]</f>
        <v>6997</v>
      </c>
      <c r="K45" s="13">
        <v>0</v>
      </c>
      <c r="L45" s="13"/>
      <c r="M45" s="13"/>
      <c r="N45" s="13"/>
      <c r="O45" s="13"/>
      <c r="P45" s="14"/>
      <c r="Q45" s="14"/>
      <c r="R45" s="14"/>
      <c r="S45" s="14"/>
      <c r="T45" s="13"/>
      <c r="U45" s="14">
        <f>SUM(Tabla13[[#This Row],[ene-26]:[dic-26]])</f>
        <v>6997</v>
      </c>
    </row>
    <row r="46" spans="1:21" x14ac:dyDescent="0.25">
      <c r="A46" s="15"/>
      <c r="B46" s="8" t="s">
        <v>56</v>
      </c>
      <c r="C46" s="9" t="s">
        <v>23</v>
      </c>
      <c r="D46" s="21">
        <v>8</v>
      </c>
      <c r="E46" s="26" t="s">
        <v>63</v>
      </c>
      <c r="F46" s="20" t="s">
        <v>58</v>
      </c>
      <c r="G46" s="13">
        <v>6997</v>
      </c>
      <c r="H46" s="13">
        <f>+Tabla13[[#This Row],[CANTIDAD]]*Tabla13[[#This Row],[TEMPORALIDAD]]*Tabla13[[#This Row],[PRECIO 
UNITARIO]]</f>
        <v>503784</v>
      </c>
      <c r="I46" s="22"/>
      <c r="J46" s="22"/>
      <c r="K46" s="22"/>
      <c r="L46" s="22">
        <f>+Tabla13[[#This Row],[CANTIDAD]]*Tabla13[[#This Row],[PRECIO 
UNITARIO]]</f>
        <v>55976</v>
      </c>
      <c r="M46" s="22">
        <f>+Tabla13[[#This Row],[CANTIDAD]]*Tabla13[[#This Row],[PRECIO 
UNITARIO]]</f>
        <v>55976</v>
      </c>
      <c r="N46" s="22">
        <f>+Tabla13[[#This Row],[CANTIDAD]]*Tabla13[[#This Row],[PRECIO 
UNITARIO]]</f>
        <v>55976</v>
      </c>
      <c r="O46" s="22">
        <f>+Tabla13[[#This Row],[CANTIDAD]]*Tabla13[[#This Row],[PRECIO 
UNITARIO]]</f>
        <v>55976</v>
      </c>
      <c r="P46" s="22">
        <f>+Tabla13[[#This Row],[CANTIDAD]]*Tabla13[[#This Row],[PRECIO 
UNITARIO]]</f>
        <v>55976</v>
      </c>
      <c r="Q46" s="22">
        <f>+Tabla13[[#This Row],[CANTIDAD]]*Tabla13[[#This Row],[PRECIO 
UNITARIO]]</f>
        <v>55976</v>
      </c>
      <c r="R46" s="22">
        <f>+Tabla13[[#This Row],[CANTIDAD]]*Tabla13[[#This Row],[PRECIO 
UNITARIO]]</f>
        <v>55976</v>
      </c>
      <c r="S46" s="22">
        <f>+Tabla13[[#This Row],[CANTIDAD]]*Tabla13[[#This Row],[PRECIO 
UNITARIO]]</f>
        <v>55976</v>
      </c>
      <c r="T46" s="22">
        <f>+Tabla13[[#This Row],[CANTIDAD]]*Tabla13[[#This Row],[PRECIO 
UNITARIO]]</f>
        <v>55976</v>
      </c>
      <c r="U46" s="14">
        <f>SUM(Tabla13[[#This Row],[ene-26]:[dic-26]])</f>
        <v>503784</v>
      </c>
    </row>
    <row r="47" spans="1:21" x14ac:dyDescent="0.25">
      <c r="A47" s="15"/>
      <c r="B47" s="8" t="s">
        <v>56</v>
      </c>
      <c r="C47" s="9" t="s">
        <v>23</v>
      </c>
      <c r="D47" s="25" t="s">
        <v>64</v>
      </c>
      <c r="E47" s="26" t="s">
        <v>65</v>
      </c>
      <c r="F47" s="9" t="s">
        <v>36</v>
      </c>
      <c r="G47" s="13">
        <v>5536</v>
      </c>
      <c r="H47" s="13">
        <f>+Tabla13[[#This Row],[CANTIDAD]]*Tabla13[[#This Row],[TEMPORALIDAD]]*Tabla13[[#This Row],[PRECIO 
UNITARIO]]</f>
        <v>381984</v>
      </c>
      <c r="I47" s="13">
        <f>+Tabla13[[#This Row],[CANTIDAD]]*Tabla13[[#This Row],[PRECIO 
UNITARIO]]</f>
        <v>127328</v>
      </c>
      <c r="J47" s="13">
        <f>+Tabla13[[#This Row],[CANTIDAD]]*Tabla13[[#This Row],[PRECIO 
UNITARIO]]</f>
        <v>127328</v>
      </c>
      <c r="K47" s="13">
        <f>+Tabla13[[#This Row],[CANTIDAD]]*Tabla13[[#This Row],[PRECIO 
UNITARIO]]</f>
        <v>127328</v>
      </c>
      <c r="L47" s="13"/>
      <c r="M47" s="13"/>
      <c r="N47" s="13"/>
      <c r="O47" s="13"/>
      <c r="P47" s="14"/>
      <c r="Q47" s="14"/>
      <c r="R47" s="14"/>
      <c r="S47" s="14"/>
      <c r="T47" s="13"/>
      <c r="U47" s="14">
        <f>SUM(Tabla13[[#This Row],[ene-26]:[dic-26]])</f>
        <v>381984</v>
      </c>
    </row>
    <row r="48" spans="1:21" x14ac:dyDescent="0.25">
      <c r="A48" s="15" t="s">
        <v>22</v>
      </c>
      <c r="B48" s="8" t="s">
        <v>56</v>
      </c>
      <c r="C48" s="9" t="s">
        <v>23</v>
      </c>
      <c r="D48" s="10">
        <v>2</v>
      </c>
      <c r="E48" s="26" t="s">
        <v>65</v>
      </c>
      <c r="F48" s="9" t="s">
        <v>34</v>
      </c>
      <c r="G48" s="13">
        <v>5536</v>
      </c>
      <c r="H48" s="13">
        <f>+Tabla13[[#This Row],[CANTIDAD]]*Tabla13[[#This Row],[TEMPORALIDAD]]*Tabla13[[#This Row],[PRECIO 
UNITARIO]]</f>
        <v>22144</v>
      </c>
      <c r="I48" s="13">
        <f>+Tabla13[[#This Row],[CANTIDAD]]*Tabla13[[#This Row],[PRECIO 
UNITARIO]]</f>
        <v>11072</v>
      </c>
      <c r="J48" s="13">
        <f>+Tabla13[[#This Row],[CANTIDAD]]*Tabla13[[#This Row],[PRECIO 
UNITARIO]]</f>
        <v>11072</v>
      </c>
      <c r="K48" s="13"/>
      <c r="L48" s="13"/>
      <c r="M48" s="13"/>
      <c r="N48" s="13"/>
      <c r="O48" s="13"/>
      <c r="P48" s="14"/>
      <c r="Q48" s="14"/>
      <c r="R48" s="14"/>
      <c r="S48" s="14"/>
      <c r="T48" s="13"/>
      <c r="U48" s="14">
        <f>SUM(Tabla13[[#This Row],[ene-26]:[dic-26]])</f>
        <v>22144</v>
      </c>
    </row>
    <row r="49" spans="1:21" x14ac:dyDescent="0.25">
      <c r="A49" s="15"/>
      <c r="B49" s="8" t="s">
        <v>56</v>
      </c>
      <c r="C49" s="9" t="s">
        <v>23</v>
      </c>
      <c r="D49" s="10">
        <v>1</v>
      </c>
      <c r="E49" s="26" t="s">
        <v>65</v>
      </c>
      <c r="F49" s="9" t="s">
        <v>30</v>
      </c>
      <c r="G49" s="13">
        <v>5536</v>
      </c>
      <c r="H49" s="13">
        <f>+Tabla13[[#This Row],[CANTIDAD]]*Tabla13[[#This Row],[TEMPORALIDAD]]*Tabla13[[#This Row],[PRECIO 
UNITARIO]]</f>
        <v>5536</v>
      </c>
      <c r="I49" s="13">
        <v>0</v>
      </c>
      <c r="J49" s="13">
        <f>+Tabla13[[#This Row],[CANTIDAD]]*Tabla13[[#This Row],[PRECIO 
UNITARIO]]</f>
        <v>5536</v>
      </c>
      <c r="K49" s="13">
        <v>0</v>
      </c>
      <c r="L49" s="13"/>
      <c r="M49" s="13"/>
      <c r="N49" s="13"/>
      <c r="O49" s="13"/>
      <c r="P49" s="14"/>
      <c r="Q49" s="14"/>
      <c r="R49" s="14"/>
      <c r="S49" s="14"/>
      <c r="T49" s="13"/>
      <c r="U49" s="14">
        <f>SUM(Tabla13[[#This Row],[ene-26]:[dic-26]])</f>
        <v>5536</v>
      </c>
    </row>
    <row r="50" spans="1:21" x14ac:dyDescent="0.25">
      <c r="A50" s="15"/>
      <c r="B50" s="8" t="s">
        <v>56</v>
      </c>
      <c r="C50" s="9" t="s">
        <v>23</v>
      </c>
      <c r="D50" s="21">
        <v>26</v>
      </c>
      <c r="E50" s="26" t="s">
        <v>66</v>
      </c>
      <c r="F50" s="20" t="s">
        <v>34</v>
      </c>
      <c r="G50" s="27">
        <v>4709</v>
      </c>
      <c r="H50" s="13">
        <f>+Tabla13[[#This Row],[CANTIDAD]]*Tabla13[[#This Row],[TEMPORALIDAD]]*Tabla13[[#This Row],[PRECIO 
UNITARIO]]</f>
        <v>244868</v>
      </c>
      <c r="I50" s="22"/>
      <c r="J50" s="22"/>
      <c r="K50" s="22"/>
      <c r="L50" s="22">
        <f>+Tabla13[[#This Row],[CANTIDAD]]*Tabla13[[#This Row],[PRECIO 
UNITARIO]]</f>
        <v>122434</v>
      </c>
      <c r="M50" s="22">
        <f>+Tabla13[[#This Row],[CANTIDAD]]*Tabla13[[#This Row],[PRECIO 
UNITARIO]]</f>
        <v>122434</v>
      </c>
      <c r="N50" s="22"/>
      <c r="O50" s="22"/>
      <c r="P50" s="22"/>
      <c r="Q50" s="22"/>
      <c r="R50" s="22"/>
      <c r="S50" s="22"/>
      <c r="T50" s="22"/>
      <c r="U50" s="14">
        <f>SUM(Tabla13[[#This Row],[ene-26]:[dic-26]])</f>
        <v>244868</v>
      </c>
    </row>
    <row r="51" spans="1:21" x14ac:dyDescent="0.25">
      <c r="A51" s="15"/>
      <c r="B51" s="8" t="s">
        <v>56</v>
      </c>
      <c r="C51" s="9" t="s">
        <v>23</v>
      </c>
      <c r="D51" s="21">
        <v>10</v>
      </c>
      <c r="E51" s="26" t="s">
        <v>66</v>
      </c>
      <c r="F51" s="28" t="s">
        <v>40</v>
      </c>
      <c r="G51" s="29">
        <v>4709</v>
      </c>
      <c r="H51" s="30">
        <f>+Tabla13[[#This Row],[CANTIDAD]]*Tabla13[[#This Row],[TEMPORALIDAD]]*Tabla13[[#This Row],[PRECIO 
UNITARIO]]</f>
        <v>235450</v>
      </c>
      <c r="I51" s="22"/>
      <c r="J51" s="22"/>
      <c r="K51" s="22"/>
      <c r="L51" s="22"/>
      <c r="M51" s="22"/>
      <c r="N51" s="22"/>
      <c r="O51" s="22"/>
      <c r="P51" s="22">
        <f>+Tabla13[[#This Row],[CANTIDAD]]*Tabla13[[#This Row],[PRECIO 
UNITARIO]]</f>
        <v>47090</v>
      </c>
      <c r="Q51" s="22">
        <f>+Tabla13[[#This Row],[CANTIDAD]]*Tabla13[[#This Row],[PRECIO 
UNITARIO]]</f>
        <v>47090</v>
      </c>
      <c r="R51" s="22">
        <f>+Tabla13[[#This Row],[CANTIDAD]]*Tabla13[[#This Row],[PRECIO 
UNITARIO]]</f>
        <v>47090</v>
      </c>
      <c r="S51" s="22">
        <f>+Tabla13[[#This Row],[CANTIDAD]]*Tabla13[[#This Row],[PRECIO 
UNITARIO]]</f>
        <v>47090</v>
      </c>
      <c r="T51" s="22">
        <f>+Tabla13[[#This Row],[CANTIDAD]]*Tabla13[[#This Row],[PRECIO 
UNITARIO]]</f>
        <v>47090</v>
      </c>
      <c r="U51" s="14">
        <f>SUM(Tabla13[[#This Row],[ene-26]:[dic-26]])</f>
        <v>235450</v>
      </c>
    </row>
    <row r="52" spans="1:21" x14ac:dyDescent="0.25">
      <c r="A52" s="31"/>
      <c r="B52" s="31"/>
      <c r="C52" s="31"/>
      <c r="D52" s="31"/>
      <c r="E52" s="31"/>
      <c r="F52" s="32"/>
      <c r="G52" s="33"/>
      <c r="H52" s="34">
        <f>SUBTOTAL(109,H4:H51)</f>
        <v>5466164</v>
      </c>
      <c r="I52" s="35">
        <f t="shared" ref="I52:T52" si="0">SUBTOTAL(109,I5:I51)</f>
        <v>256246</v>
      </c>
      <c r="J52" s="36">
        <f t="shared" si="0"/>
        <v>268779</v>
      </c>
      <c r="K52" s="36">
        <f t="shared" si="0"/>
        <v>245174</v>
      </c>
      <c r="L52" s="36">
        <f t="shared" si="0"/>
        <v>478474</v>
      </c>
      <c r="M52" s="36">
        <f t="shared" si="0"/>
        <v>478474</v>
      </c>
      <c r="N52" s="36">
        <f t="shared" si="0"/>
        <v>363037</v>
      </c>
      <c r="O52" s="36">
        <f t="shared" si="0"/>
        <v>730845</v>
      </c>
      <c r="P52" s="36">
        <f t="shared" si="0"/>
        <v>527601</v>
      </c>
      <c r="Q52" s="36">
        <f t="shared" si="0"/>
        <v>527601</v>
      </c>
      <c r="R52" s="36">
        <f t="shared" si="0"/>
        <v>527601</v>
      </c>
      <c r="S52" s="36">
        <f t="shared" si="0"/>
        <v>461169</v>
      </c>
      <c r="T52" s="36">
        <f t="shared" si="0"/>
        <v>461169</v>
      </c>
      <c r="U52" s="37">
        <f>SUBTOTAL(109,U4:U51)</f>
        <v>5452170</v>
      </c>
    </row>
    <row r="53" spans="1:21" x14ac:dyDescent="0.25">
      <c r="D53" s="38"/>
      <c r="F53" s="39" t="s">
        <v>67</v>
      </c>
      <c r="G53" s="40"/>
      <c r="H53" s="40">
        <v>5404311</v>
      </c>
    </row>
    <row r="54" spans="1:21" x14ac:dyDescent="0.25">
      <c r="F54" s="44" t="s">
        <v>68</v>
      </c>
      <c r="G54" s="44"/>
      <c r="H54" s="41">
        <f>+H52-H53</f>
        <v>61853</v>
      </c>
    </row>
    <row r="57" spans="1:21" x14ac:dyDescent="0.25">
      <c r="F57" s="42"/>
      <c r="I57" s="43"/>
    </row>
    <row r="58" spans="1:21" x14ac:dyDescent="0.25">
      <c r="F58" s="42"/>
      <c r="I58" s="43"/>
    </row>
    <row r="59" spans="1:21" x14ac:dyDescent="0.25">
      <c r="I59" s="43"/>
    </row>
    <row r="60" spans="1:21" x14ac:dyDescent="0.25">
      <c r="I60" s="43"/>
    </row>
    <row r="61" spans="1:21" x14ac:dyDescent="0.25">
      <c r="I61" s="43"/>
    </row>
  </sheetData>
  <mergeCells count="1">
    <mergeCell ref="F54:G54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INFORMATICA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Vanessa Herbas Soria Galvarro</dc:creator>
  <cp:lastModifiedBy>Reynaldo Choque</cp:lastModifiedBy>
  <dcterms:created xsi:type="dcterms:W3CDTF">2026-03-30T20:17:50Z</dcterms:created>
  <dcterms:modified xsi:type="dcterms:W3CDTF">2026-03-31T17:50:57Z</dcterms:modified>
</cp:coreProperties>
</file>